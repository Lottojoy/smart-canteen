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Sheet1" sheetId="1" r:id="rId1"/>
  </sheets>
  <definedNames>
    <definedName name="Z_D7AD8047_9A06_4971_9DF9_AFF984511604_.wvu.FilterData" localSheetId="0" hidden="1">Sheet1!$A$2:$J$146</definedName>
  </definedNames>
  <calcPr calcId="191029"/>
  <customWorkbookViews>
    <customWorkbookView name="Table1 filter view" guid="{D7AD8047-9A06-4971-9DF9-AFF98451160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D26" authorId="0">
      <text>
        <r>
          <rPr>
            <sz val="10"/>
            <rFont val="SimSun"/>
            <charset val="134"/>
          </rPr>
          <t>======
ID#AAACHu_Y-Bs
Pacharida HAKUN    (2026-09-29 06:11:07)
Ppl uyu p bc</t>
        </r>
      </text>
    </comment>
  </commentList>
</comments>
</file>

<file path=xl/sharedStrings.xml><?xml version="1.0" encoding="utf-8"?>
<sst xmlns="http://schemas.openxmlformats.org/spreadsheetml/2006/main" count="469" uniqueCount="35">
  <si>
    <t>-</t>
  </si>
  <si>
    <t xml:space="preserve">Day(1-15) </t>
  </si>
  <si>
    <t>Date</t>
  </si>
  <si>
    <t>Time</t>
  </si>
  <si>
    <t>Day(Monday - Friday)</t>
  </si>
  <si>
    <t xml:space="preserve">Vacant Table 
</t>
  </si>
  <si>
    <t xml:space="preserve">OccupiedTable
</t>
  </si>
  <si>
    <t>Kamphaeng Saen Temperature Condition</t>
  </si>
  <si>
    <t xml:space="preserve"> Rain and Flood Condition(Nakhon Pathom)</t>
  </si>
  <si>
    <t>Daily Maximum Temperature(Nakhon Pathom)</t>
  </si>
  <si>
    <t>Daily Rainfall (mm) (Nakhon Pathom)</t>
  </si>
  <si>
    <t>Note</t>
  </si>
  <si>
    <t>TuesDay</t>
  </si>
  <si>
    <t>Not Hot</t>
  </si>
  <si>
    <t>No Flooding</t>
  </si>
  <si>
    <t>TotalTableจำนวนโต๊ะทั้งหมด = 196</t>
  </si>
  <si>
    <t>Wednesday</t>
  </si>
  <si>
    <t>Hot</t>
  </si>
  <si>
    <t>Thursday</t>
  </si>
  <si>
    <t>Friday</t>
  </si>
  <si>
    <t>Monday</t>
  </si>
  <si>
    <t>Tuesday</t>
  </si>
  <si>
    <t>Continuous Rain</t>
  </si>
  <si>
    <t>Flooding</t>
  </si>
  <si>
    <t>***ที่มา</t>
  </si>
  <si>
    <r>
      <rPr>
        <u/>
        <sz val="10"/>
        <color rgb="FF1155CC"/>
        <rFont val="宋体"/>
        <charset val="134"/>
      </rPr>
      <t>กำแพงแสน, นครปฐม, ไทย สภาพอากาศประจำเดือน | AccuWeather</t>
    </r>
  </si>
  <si>
    <t xml:space="preserve">ใช้ดูอุณหภูมิย้อนหลังบริเวณกำแพงแสน </t>
  </si>
  <si>
    <r>
      <rPr>
        <u/>
        <sz val="10"/>
        <color rgb="FF1155CC"/>
        <rFont val="宋体"/>
        <charset val="134"/>
      </rPr>
      <t>รายงานอากาศ 7 วันที่ผ่านมา</t>
    </r>
  </si>
  <si>
    <t>ใช้ดููเป็นเกณฑ์ สภาพอากาศ</t>
  </si>
  <si>
    <t>อุณหภูมิสุงสุด &lt;= 34 ;ไม่ร้อน</t>
  </si>
  <si>
    <t>อุณหภูมิสุงสุด &gt; 34 ; ร้อน</t>
  </si>
  <si>
    <t>https://www.facebook.com/share/p/1HrC62iVmJ/?mibextid=wwXIfr</t>
  </si>
  <si>
    <t>อ้างอิงสถานการณ์น้ำท่วม</t>
  </si>
  <si>
    <t>https://www.tmd.go.th/climate/daily?date=2026-09-15</t>
  </si>
  <si>
    <t>ใช้อ้างอิงข้อมูล อุณหภูมิสูงสุดในวันจ.นครปฐม และ ปริมาณฝนในวัน (มม.)จ.นครปฐม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</si>
</sst>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  <numFmt numFmtId="180" formatCode="d/m"/>
  </numFmts>
  <fonts count="27">
    <font>
      <sz val="11"/>
      <color theme="1"/>
      <name val="Aptos Narrow"/>
      <charset val="134"/>
      <scheme val="minor"/>
    </font>
    <font>
      <sz val="11"/>
      <color theme="1"/>
      <name val="Tahoma"/>
      <charset val="134"/>
    </font>
    <font>
      <sz val="11"/>
      <color rgb="FFFFFFFF"/>
      <name val="Tahoma"/>
      <charset val="134"/>
    </font>
    <font>
      <sz val="11"/>
      <color rgb="FF000000"/>
      <name val="Roboto"/>
      <charset val="134"/>
    </font>
    <font>
      <u/>
      <sz val="11"/>
      <color rgb="FF0000FF"/>
      <name val="Aptos Narrow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u/>
      <sz val="10"/>
      <color rgb="FF1155CC"/>
      <name val="宋体"/>
      <charset val="134"/>
    </font>
    <font>
      <sz val="10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5">
    <xf numFmtId="0" fontId="0" fillId="0" borderId="0" xfId="0" applyFont="1" applyAlignment="1"/>
    <xf numFmtId="0" fontId="0" fillId="0" borderId="0" xfId="0" applyFont="1"/>
    <xf numFmtId="58" fontId="1" fillId="0" borderId="0" xfId="0" applyNumberFormat="1" applyFont="1"/>
    <xf numFmtId="20" fontId="1" fillId="0" borderId="0" xfId="0" applyNumberFormat="1" applyFont="1"/>
    <xf numFmtId="0" fontId="0" fillId="0" borderId="0" xfId="0" applyFont="1" applyAlignment="1">
      <alignment horizontal="right"/>
    </xf>
    <xf numFmtId="0" fontId="1" fillId="2" borderId="0" xfId="0" applyFont="1" applyFill="1" applyBorder="1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2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58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0" fontId="0" fillId="0" borderId="0" xfId="0" applyFont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58" fontId="0" fillId="0" borderId="0" xfId="0" applyNumberFormat="1" applyFont="1" applyAlignment="1">
      <alignment vertical="center"/>
    </xf>
    <xf numFmtId="0" fontId="3" fillId="5" borderId="0" xfId="0" applyFont="1" applyFill="1" applyAlignment="1">
      <alignment horizontal="right" vertical="center"/>
    </xf>
    <xf numFmtId="180" fontId="0" fillId="0" borderId="0" xfId="0" applyNumberFormat="1" applyFont="1" applyAlignment="1">
      <alignment vertical="center"/>
    </xf>
    <xf numFmtId="0" fontId="1" fillId="2" borderId="0" xfId="0" applyFont="1" applyFill="1" applyBorder="1" applyAlignment="1">
      <alignment horizontal="right" vertical="center"/>
    </xf>
    <xf numFmtId="0" fontId="4" fillId="0" borderId="0" xfId="0" applyFont="1" applyAlignment="1"/>
    <xf numFmtId="0" fontId="5" fillId="0" borderId="0" xfId="0" applyFont="1" applyAlignment="1"/>
  </cellXfs>
  <cellStyles count="49">
    <cellStyle name="ปกติ" xfId="0" builtinId="0"/>
    <cellStyle name="เครื่องหมายจุลภาค" xfId="1" builtinId="3"/>
    <cellStyle name="เครื่องหมายสกุลเงิน" xfId="2" builtinId="4"/>
    <cellStyle name="เปอร์เซ็นต์" xfId="3" builtinId="5"/>
    <cellStyle name="เครื่องหมายจุลภาค [0]" xfId="4" builtinId="6"/>
    <cellStyle name="เครื่องหมายสกุลเงิน [0]" xfId="5" builtinId="7"/>
    <cellStyle name="การเชื่อมโยงหลายมิติ" xfId="6" builtinId="8"/>
    <cellStyle name="การเชื่อมโยงหลายมิติที่ตาม" xfId="7" builtinId="9"/>
    <cellStyle name="หมายเหตุ" xfId="8" builtinId="10"/>
    <cellStyle name="ข้อความเตือน" xfId="9" builtinId="11"/>
    <cellStyle name="ชื่อเรื่อง" xfId="10" builtinId="15"/>
    <cellStyle name="ข้อความอธิบาย" xfId="11" builtinId="53"/>
    <cellStyle name="หัวเรื่อง 1" xfId="12" builtinId="16"/>
    <cellStyle name="หัวเรื่อง 2" xfId="13" builtinId="17"/>
    <cellStyle name="หัวเรื่อง 3" xfId="14" builtinId="18"/>
    <cellStyle name="หัวเรื่อง 4" xfId="15" builtinId="19"/>
    <cellStyle name="ป้อนค่า" xfId="16" builtinId="20"/>
    <cellStyle name="แสดงผล" xfId="17" builtinId="21"/>
    <cellStyle name="การคำนวณ" xfId="18" builtinId="22"/>
    <cellStyle name="เซลล์ตรวจสอบ" xfId="19" builtinId="23"/>
    <cellStyle name="เซลล์ที่มีลิงก์" xfId="20" builtinId="24"/>
    <cellStyle name="ผลรวม" xfId="21" builtinId="25"/>
    <cellStyle name="ดี" xfId="22" builtinId="26"/>
    <cellStyle name="แย่" xfId="23" builtinId="27"/>
    <cellStyle name="ปานกลาง" xfId="24" builtinId="28"/>
    <cellStyle name="ส่วนที่ถูกเน้น1" xfId="25" builtinId="29"/>
    <cellStyle name="20% - ส่วนที่ถูกเน้น1" xfId="26" builtinId="30"/>
    <cellStyle name="40% - ส่วนที่ถูกเน้น1" xfId="27" builtinId="31"/>
    <cellStyle name="60% - ส่วนที่ถูกเน้น1" xfId="28" builtinId="32"/>
    <cellStyle name="ส่วนที่ถูกเน้น2" xfId="29" builtinId="33"/>
    <cellStyle name="20% - ส่วนที่ถูกเน้น2" xfId="30" builtinId="34"/>
    <cellStyle name="40% - ส่วนที่ถูกเน้น2" xfId="31" builtinId="35"/>
    <cellStyle name="60% - ส่วนที่ถูกเน้น2" xfId="32" builtinId="36"/>
    <cellStyle name="ส่วนที่ถูกเน้น3" xfId="33" builtinId="37"/>
    <cellStyle name="20% - ส่วนที่ถูกเน้น3" xfId="34" builtinId="38"/>
    <cellStyle name="40% - ส่วนที่ถูกเน้น3" xfId="35" builtinId="39"/>
    <cellStyle name="60% - ส่วนที่ถูกเน้น3" xfId="36" builtinId="40"/>
    <cellStyle name="ส่วนที่ถูกเน้น4" xfId="37" builtinId="41"/>
    <cellStyle name="20% - ส่วนที่ถูกเน้น4" xfId="38" builtinId="42"/>
    <cellStyle name="40% - ส่วนที่ถูกเน้น4" xfId="39" builtinId="43"/>
    <cellStyle name="60% - ส่วนที่ถูกเน้น4" xfId="40" builtinId="44"/>
    <cellStyle name="ส่วนที่ถูกเน้น5" xfId="41" builtinId="45"/>
    <cellStyle name="20% - ส่วนที่ถูกเน้น5" xfId="42" builtinId="46"/>
    <cellStyle name="40% - ส่วนที่ถูกเน้น5" xfId="43" builtinId="47"/>
    <cellStyle name="60% - ส่วนที่ถูกเน้น5" xfId="44" builtinId="48"/>
    <cellStyle name="ส่วนที่ถูกเน้น6" xfId="45" builtinId="49"/>
    <cellStyle name="20% - ส่วนที่ถูกเน้น6" xfId="46" builtinId="50"/>
    <cellStyle name="40% - ส่วนที่ถูกเน้น6" xfId="47" builtinId="51"/>
    <cellStyle name="60% - ส่วนที่ถูกเน้น6" xfId="48" builtinId="52"/>
  </cellStyles>
  <dxfs count="14">
    <dxf>
      <font>
        <name val="Aptos Narrow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minor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name="Sheet1-style" pivot="0" count="4" xr9:uid="{C830A058-8D39-454A-9045-091E4F53D83D}">
      <tableStyleElement type="wholeTable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3152775</xdr:colOff>
      <xdr:row>147</xdr:row>
      <xdr:rowOff>47625</xdr:rowOff>
    </xdr:from>
    <xdr:ext cx="2809875" cy="1333500"/>
    <xdr:pic>
      <xdr:nvPicPr>
        <xdr:cNvPr id="2" name="image1.png" title="รูปภาพ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3731855" y="27346275"/>
          <a:ext cx="2809875" cy="133350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1" displayName="Table1" ref="A2:J146">
  <tableColumns count="10">
    <tableColumn id="1" name="Day(1-15) " dataDxfId="0"/>
    <tableColumn id="2" name="Date" dataDxfId="1"/>
    <tableColumn id="3" name="Time" dataDxfId="2"/>
    <tableColumn id="4" name="Day(Monday - Friday)" dataDxfId="3"/>
    <tableColumn id="5" name="Vacant Table &#10;" dataDxfId="4"/>
    <tableColumn id="6" name="OccupiedTable&#10;" dataDxfId="5"/>
    <tableColumn id="7" name="Kamphaeng Saen Temperature Condition" dataDxfId="6"/>
    <tableColumn id="8" name=" Rain and Flood Condition(Nakhon Pathom)" dataDxfId="7"/>
    <tableColumn id="9" name="Daily Maximum Temperature(Nakhon Pathom)" dataDxfId="8"/>
    <tableColumn id="10" name="Daily Rainfall (mm) (Nakhon Pathom)" dataDxfId="9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d.go.th/climate/daily?date=2026-09-15" TargetMode="External"/><Relationship Id="rId7" Type="http://schemas.openxmlformats.org/officeDocument/2006/relationships/hyperlink" Target="https://www.facebook.com/share/p/1HrC62iVmJ/?mibextid=wwXIfr" TargetMode="External"/><Relationship Id="rId6" Type="http://schemas.openxmlformats.org/officeDocument/2006/relationships/hyperlink" Target="https://www.tmd.go.th/weather/province/past7Days/nakhon-pathom/50/451301" TargetMode="External"/><Relationship Id="rId5" Type="http://schemas.openxmlformats.org/officeDocument/2006/relationships/hyperlink" Target="https://www.accuweather.com/th/th/kamphaeng-saen/319607/september-weather/319607?year=2026" TargetMode="External"/><Relationship Id="rId4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64"/>
  <sheetViews>
    <sheetView tabSelected="1" topLeftCell="A90" workbookViewId="0">
      <selection activeCell="A1" sqref="A1"/>
    </sheetView>
  </sheetViews>
  <sheetFormatPr defaultColWidth="12.6333333333333" defaultRowHeight="15" customHeight="1"/>
  <cols>
    <col min="1" max="1" width="14.1333333333333" customWidth="1"/>
    <col min="2" max="3" width="12" customWidth="1"/>
    <col min="4" max="4" width="17.5" customWidth="1"/>
    <col min="5" max="5" width="13.3833333333333" customWidth="1"/>
    <col min="6" max="6" width="18.1333333333333" customWidth="1"/>
    <col min="7" max="7" width="24.8833333333333" customWidth="1"/>
    <col min="8" max="8" width="29.3833333333333" customWidth="1"/>
    <col min="9" max="9" width="21.25" customWidth="1"/>
    <col min="10" max="10" width="20.6333333333333" customWidth="1"/>
    <col min="11" max="11" width="7.63333333333333" customWidth="1"/>
    <col min="12" max="12" width="79.1333333333333" customWidth="1"/>
    <col min="13" max="13" width="79" customWidth="1"/>
    <col min="14" max="26" width="7.63333333333333" customWidth="1"/>
  </cols>
  <sheetData>
    <row r="1" ht="14.25" customHeight="1" spans="1:26">
      <c r="A1" s="1">
        <v>0</v>
      </c>
      <c r="B1" s="2">
        <v>46279</v>
      </c>
      <c r="C1" s="3" t="s">
        <v>0</v>
      </c>
      <c r="D1" s="4" t="s">
        <v>0</v>
      </c>
      <c r="E1" s="5">
        <v>0</v>
      </c>
      <c r="F1" s="6">
        <f>196</f>
        <v>196</v>
      </c>
      <c r="G1" s="4"/>
      <c r="H1" s="4"/>
    </row>
    <row r="2" ht="69" customHeight="1" spans="1:26">
      <c r="A2" s="7" t="s">
        <v>1</v>
      </c>
      <c r="B2" s="7" t="s">
        <v>2</v>
      </c>
      <c r="C2" s="7" t="s">
        <v>3</v>
      </c>
      <c r="D2" s="8" t="s">
        <v>4</v>
      </c>
      <c r="E2" s="9" t="s">
        <v>5</v>
      </c>
      <c r="F2" s="10" t="s">
        <v>6</v>
      </c>
      <c r="G2" s="11" t="s">
        <v>7</v>
      </c>
      <c r="H2" s="11" t="s">
        <v>8</v>
      </c>
      <c r="I2" s="12" t="s">
        <v>9</v>
      </c>
      <c r="J2" s="12" t="s">
        <v>10</v>
      </c>
      <c r="K2" s="13"/>
      <c r="L2" s="1" t="s">
        <v>11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 spans="1:26">
      <c r="A3" s="14">
        <v>1</v>
      </c>
      <c r="B3" s="15">
        <v>46280</v>
      </c>
      <c r="C3" s="16">
        <v>0.5</v>
      </c>
      <c r="D3" s="17" t="s">
        <v>12</v>
      </c>
      <c r="E3" s="18">
        <v>40</v>
      </c>
      <c r="F3" s="14">
        <f>196-Sheet1!$E3</f>
        <v>156</v>
      </c>
      <c r="G3" s="17" t="s">
        <v>13</v>
      </c>
      <c r="H3" s="17" t="s">
        <v>14</v>
      </c>
      <c r="I3" s="14">
        <v>33.5</v>
      </c>
      <c r="J3" s="14">
        <v>0.9</v>
      </c>
      <c r="L3" s="13" t="s">
        <v>15</v>
      </c>
    </row>
    <row r="4" ht="14.25" customHeight="1" spans="1:26">
      <c r="A4" s="14">
        <v>1</v>
      </c>
      <c r="B4" s="15"/>
      <c r="C4" s="16">
        <v>0.503472222222222</v>
      </c>
      <c r="D4" s="17" t="s">
        <v>12</v>
      </c>
      <c r="E4" s="18">
        <v>26</v>
      </c>
      <c r="F4" s="14">
        <f>196-Sheet1!$E4</f>
        <v>170</v>
      </c>
      <c r="G4" s="17" t="s">
        <v>13</v>
      </c>
      <c r="H4" s="17" t="s">
        <v>14</v>
      </c>
      <c r="I4" s="14">
        <v>33.5</v>
      </c>
      <c r="J4" s="14">
        <v>0.9</v>
      </c>
    </row>
    <row r="5" ht="14.25" customHeight="1" spans="1:26">
      <c r="A5" s="14">
        <v>1</v>
      </c>
      <c r="B5" s="15"/>
      <c r="C5" s="16">
        <v>0.506944444444444</v>
      </c>
      <c r="D5" s="17" t="s">
        <v>12</v>
      </c>
      <c r="E5" s="18">
        <v>13</v>
      </c>
      <c r="F5" s="14">
        <f>196-Sheet1!$E5</f>
        <v>183</v>
      </c>
      <c r="G5" s="17" t="s">
        <v>13</v>
      </c>
      <c r="H5" s="17" t="s">
        <v>14</v>
      </c>
      <c r="I5" s="14">
        <v>33.5</v>
      </c>
      <c r="J5" s="14">
        <v>0.9</v>
      </c>
    </row>
    <row r="6" ht="14.25" customHeight="1" spans="1:26">
      <c r="A6" s="14">
        <v>1</v>
      </c>
      <c r="C6" s="16">
        <v>0.510416666666667</v>
      </c>
      <c r="D6" s="17" t="s">
        <v>12</v>
      </c>
      <c r="E6" s="18">
        <v>18</v>
      </c>
      <c r="F6" s="14">
        <f>196-Sheet1!$E6</f>
        <v>178</v>
      </c>
      <c r="G6" s="17" t="s">
        <v>13</v>
      </c>
      <c r="H6" s="17" t="s">
        <v>14</v>
      </c>
      <c r="I6" s="14">
        <v>33.5</v>
      </c>
      <c r="J6" s="14">
        <v>0.9</v>
      </c>
    </row>
    <row r="7" ht="14.25" customHeight="1" spans="1:26">
      <c r="A7" s="14">
        <v>1</v>
      </c>
      <c r="C7" s="16">
        <v>0.513888888888889</v>
      </c>
      <c r="D7" s="17" t="s">
        <v>12</v>
      </c>
      <c r="E7" s="18">
        <v>28</v>
      </c>
      <c r="F7" s="14">
        <f>196-Sheet1!$E7</f>
        <v>168</v>
      </c>
      <c r="G7" s="17" t="s">
        <v>13</v>
      </c>
      <c r="H7" s="17" t="s">
        <v>14</v>
      </c>
      <c r="I7" s="14">
        <v>33.5</v>
      </c>
      <c r="J7" s="14">
        <v>0.9</v>
      </c>
    </row>
    <row r="8" ht="14.25" customHeight="1" spans="1:26">
      <c r="A8" s="14">
        <v>1</v>
      </c>
      <c r="C8" s="16">
        <v>0.517361111111111</v>
      </c>
      <c r="D8" s="17" t="s">
        <v>12</v>
      </c>
      <c r="E8" s="18">
        <v>45</v>
      </c>
      <c r="F8" s="14">
        <f>196-Sheet1!$E8</f>
        <v>151</v>
      </c>
      <c r="G8" s="17" t="s">
        <v>13</v>
      </c>
      <c r="H8" s="17" t="s">
        <v>14</v>
      </c>
      <c r="I8" s="14">
        <v>33.5</v>
      </c>
      <c r="J8" s="14">
        <v>0.9</v>
      </c>
    </row>
    <row r="9" ht="14.25" customHeight="1" spans="1:26">
      <c r="A9" s="14">
        <v>1</v>
      </c>
      <c r="C9" s="16">
        <v>0.520833333333333</v>
      </c>
      <c r="D9" s="17" t="s">
        <v>12</v>
      </c>
      <c r="E9" s="18">
        <v>61</v>
      </c>
      <c r="F9" s="14">
        <f>196-Sheet1!$E9</f>
        <v>135</v>
      </c>
      <c r="G9" s="17" t="s">
        <v>13</v>
      </c>
      <c r="H9" s="17" t="s">
        <v>14</v>
      </c>
      <c r="I9" s="14">
        <v>33.5</v>
      </c>
      <c r="J9" s="14">
        <v>0.9</v>
      </c>
    </row>
    <row r="10" ht="14.25" customHeight="1" spans="1:26">
      <c r="A10" s="14">
        <v>1</v>
      </c>
      <c r="C10" s="16">
        <v>0.524305555555556</v>
      </c>
      <c r="D10" s="17" t="s">
        <v>12</v>
      </c>
      <c r="E10" s="18">
        <v>79</v>
      </c>
      <c r="F10" s="14">
        <f>196-Sheet1!$E10</f>
        <v>117</v>
      </c>
      <c r="G10" s="17" t="s">
        <v>13</v>
      </c>
      <c r="H10" s="17" t="s">
        <v>14</v>
      </c>
      <c r="I10" s="14">
        <v>33.5</v>
      </c>
      <c r="J10" s="14">
        <v>0.9</v>
      </c>
    </row>
    <row r="11" ht="14.25" customHeight="1" spans="1:26">
      <c r="A11" s="14">
        <v>1</v>
      </c>
      <c r="C11" s="16">
        <v>0.527777777777778</v>
      </c>
      <c r="D11" s="17" t="s">
        <v>12</v>
      </c>
      <c r="E11" s="18">
        <v>99</v>
      </c>
      <c r="F11" s="14">
        <f>196-Sheet1!$E11</f>
        <v>97</v>
      </c>
      <c r="G11" s="17" t="s">
        <v>13</v>
      </c>
      <c r="H11" s="17" t="s">
        <v>14</v>
      </c>
      <c r="I11" s="14">
        <v>33.5</v>
      </c>
      <c r="J11" s="14">
        <v>0.9</v>
      </c>
    </row>
    <row r="12" ht="14.25" customHeight="1" spans="1:26">
      <c r="A12" s="14">
        <v>1</v>
      </c>
      <c r="C12" s="16">
        <v>0.53125</v>
      </c>
      <c r="D12" s="17" t="s">
        <v>12</v>
      </c>
      <c r="E12" s="18">
        <f>129</f>
        <v>129</v>
      </c>
      <c r="F12" s="14">
        <f>196-Sheet1!$E12</f>
        <v>67</v>
      </c>
      <c r="G12" s="17" t="s">
        <v>13</v>
      </c>
      <c r="H12" s="17" t="s">
        <v>14</v>
      </c>
      <c r="I12" s="14">
        <v>33.5</v>
      </c>
      <c r="J12" s="14">
        <v>0.9</v>
      </c>
    </row>
    <row r="13" ht="14.25" customHeight="1" spans="1:26">
      <c r="A13" s="14">
        <v>1</v>
      </c>
      <c r="C13" s="16">
        <v>0.534722222222222</v>
      </c>
      <c r="D13" s="17" t="s">
        <v>12</v>
      </c>
      <c r="E13" s="18">
        <v>150</v>
      </c>
      <c r="F13" s="14">
        <f>196-Sheet1!$E13</f>
        <v>46</v>
      </c>
      <c r="G13" s="17" t="s">
        <v>13</v>
      </c>
      <c r="H13" s="17" t="s">
        <v>14</v>
      </c>
      <c r="I13" s="14">
        <v>33.5</v>
      </c>
      <c r="J13" s="14">
        <v>0.9</v>
      </c>
    </row>
    <row r="14" ht="14.25" customHeight="1" spans="1:26">
      <c r="A14" s="14">
        <v>1</v>
      </c>
      <c r="C14" s="16">
        <v>0.538194444444444</v>
      </c>
      <c r="D14" s="17" t="s">
        <v>12</v>
      </c>
      <c r="E14" s="18">
        <v>153</v>
      </c>
      <c r="F14" s="14">
        <f>196-Sheet1!$E14</f>
        <v>43</v>
      </c>
      <c r="G14" s="17" t="s">
        <v>13</v>
      </c>
      <c r="H14" s="17" t="s">
        <v>14</v>
      </c>
      <c r="I14" s="14">
        <v>33.5</v>
      </c>
      <c r="J14" s="14">
        <v>0.9</v>
      </c>
    </row>
    <row r="15" ht="14.25" customHeight="1" spans="1:26">
      <c r="A15" s="14">
        <v>2</v>
      </c>
      <c r="B15" s="15">
        <v>46281</v>
      </c>
      <c r="C15" s="16">
        <v>0.5</v>
      </c>
      <c r="D15" s="17" t="s">
        <v>16</v>
      </c>
      <c r="E15" s="18">
        <v>30</v>
      </c>
      <c r="F15" s="14">
        <f>196-Sheet1!$E15</f>
        <v>166</v>
      </c>
      <c r="G15" s="17" t="s">
        <v>17</v>
      </c>
      <c r="H15" s="17" t="s">
        <v>14</v>
      </c>
      <c r="I15" s="14">
        <v>35.3</v>
      </c>
      <c r="J15" s="14">
        <v>9</v>
      </c>
    </row>
    <row r="16" ht="14.25" customHeight="1" spans="1:26">
      <c r="A16" s="14">
        <v>2</v>
      </c>
      <c r="C16" s="16">
        <v>0.503472222222222</v>
      </c>
      <c r="D16" s="17" t="s">
        <v>16</v>
      </c>
      <c r="E16" s="18">
        <v>28</v>
      </c>
      <c r="F16" s="14">
        <f>196-Sheet1!$E16</f>
        <v>168</v>
      </c>
      <c r="G16" s="17" t="s">
        <v>17</v>
      </c>
      <c r="H16" s="17" t="s">
        <v>14</v>
      </c>
      <c r="I16" s="14">
        <v>35.3</v>
      </c>
      <c r="J16" s="14">
        <v>9</v>
      </c>
    </row>
    <row r="17" ht="14.25" customHeight="1" spans="1:10">
      <c r="A17" s="14">
        <v>2</v>
      </c>
      <c r="C17" s="16">
        <v>0.506944444444444</v>
      </c>
      <c r="D17" s="17" t="s">
        <v>16</v>
      </c>
      <c r="E17" s="18">
        <v>11</v>
      </c>
      <c r="F17" s="14">
        <f>196-Sheet1!$E17</f>
        <v>185</v>
      </c>
      <c r="G17" s="17" t="s">
        <v>17</v>
      </c>
      <c r="H17" s="17" t="s">
        <v>14</v>
      </c>
      <c r="I17" s="14">
        <v>35.3</v>
      </c>
      <c r="J17" s="14">
        <v>9</v>
      </c>
    </row>
    <row r="18" ht="14.25" customHeight="1" spans="1:10">
      <c r="A18" s="14">
        <v>2</v>
      </c>
      <c r="C18" s="16">
        <v>0.510416666666667</v>
      </c>
      <c r="D18" s="17" t="s">
        <v>16</v>
      </c>
      <c r="E18" s="18">
        <v>20</v>
      </c>
      <c r="F18" s="14">
        <f>196-Sheet1!$E18</f>
        <v>176</v>
      </c>
      <c r="G18" s="17" t="s">
        <v>17</v>
      </c>
      <c r="H18" s="17" t="s">
        <v>14</v>
      </c>
      <c r="I18" s="14">
        <v>35.3</v>
      </c>
      <c r="J18" s="14">
        <v>9</v>
      </c>
    </row>
    <row r="19" ht="14.25" customHeight="1" spans="1:10">
      <c r="A19" s="14">
        <v>2</v>
      </c>
      <c r="C19" s="16">
        <v>0.513888888888889</v>
      </c>
      <c r="D19" s="17" t="s">
        <v>16</v>
      </c>
      <c r="E19" s="18">
        <v>15</v>
      </c>
      <c r="F19" s="14">
        <f>196-Sheet1!$E19</f>
        <v>181</v>
      </c>
      <c r="G19" s="17" t="s">
        <v>17</v>
      </c>
      <c r="H19" s="17" t="s">
        <v>14</v>
      </c>
      <c r="I19" s="14">
        <v>35.3</v>
      </c>
      <c r="J19" s="14">
        <v>9</v>
      </c>
    </row>
    <row r="20" ht="14.25" customHeight="1" spans="1:10">
      <c r="A20" s="14">
        <v>2</v>
      </c>
      <c r="C20" s="16">
        <v>0.517361111111111</v>
      </c>
      <c r="D20" s="17" t="s">
        <v>16</v>
      </c>
      <c r="E20" s="18">
        <v>32</v>
      </c>
      <c r="F20" s="14">
        <f>196-Sheet1!$E20</f>
        <v>164</v>
      </c>
      <c r="G20" s="17" t="s">
        <v>17</v>
      </c>
      <c r="H20" s="17" t="s">
        <v>14</v>
      </c>
      <c r="I20" s="14">
        <v>35.3</v>
      </c>
      <c r="J20" s="14">
        <v>9</v>
      </c>
    </row>
    <row r="21" ht="14.25" customHeight="1" spans="1:10">
      <c r="A21" s="14">
        <v>2</v>
      </c>
      <c r="C21" s="16">
        <v>0.520833333333333</v>
      </c>
      <c r="D21" s="17" t="s">
        <v>16</v>
      </c>
      <c r="E21" s="18">
        <v>43</v>
      </c>
      <c r="F21" s="14">
        <f>196-Sheet1!$E21</f>
        <v>153</v>
      </c>
      <c r="G21" s="17" t="s">
        <v>17</v>
      </c>
      <c r="H21" s="17" t="s">
        <v>14</v>
      </c>
      <c r="I21" s="14">
        <v>35.3</v>
      </c>
      <c r="J21" s="14">
        <v>9</v>
      </c>
    </row>
    <row r="22" ht="14.25" customHeight="1" spans="1:10">
      <c r="A22" s="14">
        <v>2</v>
      </c>
      <c r="C22" s="16">
        <v>0.524305555555556</v>
      </c>
      <c r="D22" s="17" t="s">
        <v>16</v>
      </c>
      <c r="E22" s="18">
        <v>63</v>
      </c>
      <c r="F22" s="14">
        <f>196-Sheet1!$E22</f>
        <v>133</v>
      </c>
      <c r="G22" s="17" t="s">
        <v>17</v>
      </c>
      <c r="H22" s="17" t="s">
        <v>14</v>
      </c>
      <c r="I22" s="14">
        <v>35.3</v>
      </c>
      <c r="J22" s="14">
        <v>9</v>
      </c>
    </row>
    <row r="23" ht="14.25" customHeight="1" spans="1:10">
      <c r="A23" s="14">
        <v>2</v>
      </c>
      <c r="C23" s="16">
        <v>0.527777777777778</v>
      </c>
      <c r="D23" s="17" t="s">
        <v>16</v>
      </c>
      <c r="E23" s="18">
        <v>83</v>
      </c>
      <c r="F23" s="14">
        <f>196-Sheet1!$E23</f>
        <v>113</v>
      </c>
      <c r="G23" s="17" t="s">
        <v>17</v>
      </c>
      <c r="H23" s="17" t="s">
        <v>14</v>
      </c>
      <c r="I23" s="14">
        <v>35.3</v>
      </c>
      <c r="J23" s="14">
        <v>9</v>
      </c>
    </row>
    <row r="24" ht="14.25" customHeight="1" spans="1:10">
      <c r="A24" s="14">
        <v>2</v>
      </c>
      <c r="C24" s="16">
        <v>0.53125</v>
      </c>
      <c r="D24" s="17" t="s">
        <v>16</v>
      </c>
      <c r="E24" s="18">
        <v>122</v>
      </c>
      <c r="F24" s="14">
        <f>196-Sheet1!$E24</f>
        <v>74</v>
      </c>
      <c r="G24" s="17" t="s">
        <v>17</v>
      </c>
      <c r="H24" s="17" t="s">
        <v>14</v>
      </c>
      <c r="I24" s="14">
        <v>35.3</v>
      </c>
      <c r="J24" s="14">
        <v>9</v>
      </c>
    </row>
    <row r="25" ht="14.25" customHeight="1" spans="1:10">
      <c r="A25" s="14">
        <v>2</v>
      </c>
      <c r="C25" s="16">
        <v>0.534722222222222</v>
      </c>
      <c r="D25" s="17" t="s">
        <v>16</v>
      </c>
      <c r="E25" s="18">
        <v>100</v>
      </c>
      <c r="F25" s="14">
        <f>196-Sheet1!$E25</f>
        <v>96</v>
      </c>
      <c r="G25" s="17" t="s">
        <v>17</v>
      </c>
      <c r="H25" s="17" t="s">
        <v>14</v>
      </c>
      <c r="I25" s="14">
        <v>35.3</v>
      </c>
      <c r="J25" s="14">
        <v>9</v>
      </c>
    </row>
    <row r="26" ht="14.25" customHeight="1" spans="1:10">
      <c r="A26" s="14">
        <v>2</v>
      </c>
      <c r="C26" s="16">
        <v>0.538194444444444</v>
      </c>
      <c r="D26" s="17" t="s">
        <v>16</v>
      </c>
      <c r="E26" s="18">
        <v>149</v>
      </c>
      <c r="F26" s="14">
        <f>196-Sheet1!$E26</f>
        <v>47</v>
      </c>
      <c r="G26" s="17" t="s">
        <v>17</v>
      </c>
      <c r="H26" s="17" t="s">
        <v>14</v>
      </c>
      <c r="I26" s="14">
        <v>35.3</v>
      </c>
      <c r="J26" s="14">
        <v>9</v>
      </c>
    </row>
    <row r="27" ht="14.25" customHeight="1" spans="1:10">
      <c r="A27" s="14">
        <v>3</v>
      </c>
      <c r="B27" s="19">
        <v>46282</v>
      </c>
      <c r="C27" s="16">
        <v>0.5</v>
      </c>
      <c r="D27" s="20" t="s">
        <v>18</v>
      </c>
      <c r="E27" s="18">
        <v>45</v>
      </c>
      <c r="F27" s="14">
        <f>196-Sheet1!$E27</f>
        <v>151</v>
      </c>
      <c r="G27" s="17" t="s">
        <v>13</v>
      </c>
      <c r="H27" s="17" t="s">
        <v>14</v>
      </c>
      <c r="I27" s="14">
        <v>33.9</v>
      </c>
      <c r="J27" s="14">
        <v>7.9</v>
      </c>
    </row>
    <row r="28" ht="14.25" customHeight="1" spans="1:10">
      <c r="A28" s="14">
        <v>3</v>
      </c>
      <c r="C28" s="16">
        <v>0.503472222222222</v>
      </c>
      <c r="D28" s="20" t="s">
        <v>18</v>
      </c>
      <c r="E28" s="18">
        <v>38</v>
      </c>
      <c r="F28" s="14">
        <f>196-Sheet1!$E28</f>
        <v>158</v>
      </c>
      <c r="G28" s="17" t="s">
        <v>13</v>
      </c>
      <c r="H28" s="17" t="s">
        <v>14</v>
      </c>
      <c r="I28" s="14">
        <v>33.9</v>
      </c>
      <c r="J28" s="14">
        <v>7.9</v>
      </c>
    </row>
    <row r="29" ht="14.25" customHeight="1" spans="1:10">
      <c r="A29" s="14">
        <v>3</v>
      </c>
      <c r="C29" s="16">
        <v>0.506944444444444</v>
      </c>
      <c r="D29" s="20" t="s">
        <v>18</v>
      </c>
      <c r="E29" s="18">
        <v>2</v>
      </c>
      <c r="F29" s="14">
        <f>196-Sheet1!$E29</f>
        <v>194</v>
      </c>
      <c r="G29" s="17" t="s">
        <v>13</v>
      </c>
      <c r="H29" s="17" t="s">
        <v>14</v>
      </c>
      <c r="I29" s="14">
        <v>33.9</v>
      </c>
      <c r="J29" s="14">
        <v>7.9</v>
      </c>
    </row>
    <row r="30" ht="14.25" customHeight="1" spans="1:10">
      <c r="A30" s="14">
        <v>3</v>
      </c>
      <c r="C30" s="16">
        <v>0.510416666666667</v>
      </c>
      <c r="D30" s="20" t="s">
        <v>18</v>
      </c>
      <c r="E30" s="18">
        <v>2</v>
      </c>
      <c r="F30" s="14">
        <f>196-Sheet1!$E30</f>
        <v>194</v>
      </c>
      <c r="G30" s="17" t="s">
        <v>13</v>
      </c>
      <c r="H30" s="17" t="s">
        <v>14</v>
      </c>
      <c r="I30" s="14">
        <v>33.9</v>
      </c>
      <c r="J30" s="14">
        <v>7.9</v>
      </c>
    </row>
    <row r="31" ht="14.25" customHeight="1" spans="1:10">
      <c r="A31" s="14">
        <v>3</v>
      </c>
      <c r="C31" s="16">
        <v>0.513888888888889</v>
      </c>
      <c r="D31" s="20" t="s">
        <v>18</v>
      </c>
      <c r="E31" s="18">
        <v>18</v>
      </c>
      <c r="F31" s="14">
        <f>196-Sheet1!$E31</f>
        <v>178</v>
      </c>
      <c r="G31" s="17" t="s">
        <v>13</v>
      </c>
      <c r="H31" s="17" t="s">
        <v>14</v>
      </c>
      <c r="I31" s="14">
        <v>33.9</v>
      </c>
      <c r="J31" s="14">
        <v>7.9</v>
      </c>
    </row>
    <row r="32" ht="14.25" customHeight="1" spans="1:10">
      <c r="A32" s="14">
        <v>3</v>
      </c>
      <c r="C32" s="16">
        <v>0.517361111111111</v>
      </c>
      <c r="D32" s="20" t="s">
        <v>18</v>
      </c>
      <c r="E32" s="18">
        <v>21</v>
      </c>
      <c r="F32" s="14">
        <f>196-Sheet1!$E32</f>
        <v>175</v>
      </c>
      <c r="G32" s="17" t="s">
        <v>13</v>
      </c>
      <c r="H32" s="17" t="s">
        <v>14</v>
      </c>
      <c r="I32" s="14">
        <v>33.9</v>
      </c>
      <c r="J32" s="14">
        <v>7.9</v>
      </c>
    </row>
    <row r="33" ht="14.25" customHeight="1" spans="1:10">
      <c r="A33" s="14">
        <v>3</v>
      </c>
      <c r="C33" s="16">
        <v>0.520833333333333</v>
      </c>
      <c r="D33" s="20" t="s">
        <v>18</v>
      </c>
      <c r="E33" s="18">
        <v>55</v>
      </c>
      <c r="F33" s="14">
        <f>196-Sheet1!$E33</f>
        <v>141</v>
      </c>
      <c r="G33" s="17" t="s">
        <v>13</v>
      </c>
      <c r="H33" s="17" t="s">
        <v>14</v>
      </c>
      <c r="I33" s="14">
        <v>33.9</v>
      </c>
      <c r="J33" s="14">
        <v>7.9</v>
      </c>
    </row>
    <row r="34" ht="14.25" customHeight="1" spans="1:10">
      <c r="A34" s="14">
        <v>3</v>
      </c>
      <c r="C34" s="16">
        <v>0.524305555555556</v>
      </c>
      <c r="D34" s="20" t="s">
        <v>18</v>
      </c>
      <c r="E34" s="18">
        <v>67</v>
      </c>
      <c r="F34" s="14">
        <f>196-Sheet1!$E34</f>
        <v>129</v>
      </c>
      <c r="G34" s="17" t="s">
        <v>13</v>
      </c>
      <c r="H34" s="17" t="s">
        <v>14</v>
      </c>
      <c r="I34" s="14">
        <v>33.9</v>
      </c>
      <c r="J34" s="14">
        <v>7.9</v>
      </c>
    </row>
    <row r="35" ht="14.25" customHeight="1" spans="1:10">
      <c r="A35" s="14">
        <v>3</v>
      </c>
      <c r="C35" s="16">
        <v>0.527777777777778</v>
      </c>
      <c r="D35" s="20" t="s">
        <v>18</v>
      </c>
      <c r="E35" s="18">
        <v>87</v>
      </c>
      <c r="F35" s="14">
        <f>196-Sheet1!$E35</f>
        <v>109</v>
      </c>
      <c r="G35" s="17" t="s">
        <v>13</v>
      </c>
      <c r="H35" s="17" t="s">
        <v>14</v>
      </c>
      <c r="I35" s="14">
        <v>33.9</v>
      </c>
      <c r="J35" s="14">
        <v>7.9</v>
      </c>
    </row>
    <row r="36" ht="14.25" customHeight="1" spans="1:10">
      <c r="A36" s="14">
        <v>3</v>
      </c>
      <c r="C36" s="16">
        <v>0.53125</v>
      </c>
      <c r="D36" s="20" t="s">
        <v>18</v>
      </c>
      <c r="E36" s="18">
        <v>97</v>
      </c>
      <c r="F36" s="14">
        <f>196-Sheet1!$E36</f>
        <v>99</v>
      </c>
      <c r="G36" s="17" t="s">
        <v>13</v>
      </c>
      <c r="H36" s="17" t="s">
        <v>14</v>
      </c>
      <c r="I36" s="14">
        <v>33.9</v>
      </c>
      <c r="J36" s="14">
        <v>7.9</v>
      </c>
    </row>
    <row r="37" ht="14.25" customHeight="1" spans="1:10">
      <c r="A37" s="14">
        <v>3</v>
      </c>
      <c r="C37" s="16">
        <v>0.534722222222222</v>
      </c>
      <c r="D37" s="20" t="s">
        <v>18</v>
      </c>
      <c r="E37" s="18">
        <v>137</v>
      </c>
      <c r="F37" s="14">
        <f>196-Sheet1!$E37</f>
        <v>59</v>
      </c>
      <c r="G37" s="17" t="s">
        <v>13</v>
      </c>
      <c r="H37" s="17" t="s">
        <v>14</v>
      </c>
      <c r="I37" s="14">
        <v>33.9</v>
      </c>
      <c r="J37" s="14">
        <v>7.9</v>
      </c>
    </row>
    <row r="38" ht="14.25" customHeight="1" spans="1:10">
      <c r="A38" s="14">
        <v>3</v>
      </c>
      <c r="C38" s="16">
        <v>0.538194444444444</v>
      </c>
      <c r="D38" s="20" t="s">
        <v>18</v>
      </c>
      <c r="E38" s="18">
        <v>148</v>
      </c>
      <c r="F38" s="14">
        <f>196-Sheet1!$E38</f>
        <v>48</v>
      </c>
      <c r="G38" s="17" t="s">
        <v>13</v>
      </c>
      <c r="H38" s="17" t="s">
        <v>14</v>
      </c>
      <c r="I38" s="14">
        <v>33.9</v>
      </c>
      <c r="J38" s="14">
        <v>7.9</v>
      </c>
    </row>
    <row r="39" ht="14.25" customHeight="1" spans="1:10">
      <c r="A39" s="14">
        <v>4</v>
      </c>
      <c r="B39" s="19">
        <v>46283</v>
      </c>
      <c r="C39" s="16">
        <v>0.5</v>
      </c>
      <c r="D39" s="20" t="s">
        <v>19</v>
      </c>
      <c r="E39" s="18">
        <v>102</v>
      </c>
      <c r="F39" s="14">
        <f>196-Sheet1!$E39</f>
        <v>94</v>
      </c>
      <c r="G39" s="17" t="s">
        <v>13</v>
      </c>
      <c r="H39" s="17" t="s">
        <v>14</v>
      </c>
      <c r="I39" s="14">
        <v>33.8</v>
      </c>
      <c r="J39" s="14">
        <v>0.4</v>
      </c>
    </row>
    <row r="40" ht="14.25" customHeight="1" spans="1:10">
      <c r="A40" s="14">
        <v>4</v>
      </c>
      <c r="C40" s="16">
        <v>0.503472222222222</v>
      </c>
      <c r="D40" s="20" t="s">
        <v>19</v>
      </c>
      <c r="E40" s="18">
        <v>96</v>
      </c>
      <c r="F40" s="14">
        <f>196-Sheet1!$E40</f>
        <v>100</v>
      </c>
      <c r="G40" s="17" t="s">
        <v>13</v>
      </c>
      <c r="H40" s="17" t="s">
        <v>14</v>
      </c>
      <c r="I40" s="14">
        <v>33.8</v>
      </c>
      <c r="J40" s="14">
        <v>0.4</v>
      </c>
    </row>
    <row r="41" ht="14.25" customHeight="1" spans="1:10">
      <c r="A41" s="14">
        <v>4</v>
      </c>
      <c r="C41" s="16">
        <v>0.506944444444444</v>
      </c>
      <c r="D41" s="20" t="s">
        <v>19</v>
      </c>
      <c r="E41" s="18">
        <v>81</v>
      </c>
      <c r="F41" s="14">
        <f>196-Sheet1!$E41</f>
        <v>115</v>
      </c>
      <c r="G41" s="17" t="s">
        <v>13</v>
      </c>
      <c r="H41" s="17" t="s">
        <v>14</v>
      </c>
      <c r="I41" s="14">
        <v>33.8</v>
      </c>
      <c r="J41" s="14">
        <v>0.4</v>
      </c>
    </row>
    <row r="42" ht="14.25" customHeight="1" spans="1:10">
      <c r="A42" s="14">
        <v>4</v>
      </c>
      <c r="C42" s="16">
        <v>0.510416666666667</v>
      </c>
      <c r="D42" s="20" t="s">
        <v>19</v>
      </c>
      <c r="E42" s="18">
        <v>65</v>
      </c>
      <c r="F42" s="14">
        <f>196-Sheet1!$E42</f>
        <v>131</v>
      </c>
      <c r="G42" s="17" t="s">
        <v>13</v>
      </c>
      <c r="H42" s="17" t="s">
        <v>14</v>
      </c>
      <c r="I42" s="14">
        <v>33.8</v>
      </c>
      <c r="J42" s="14">
        <v>0.4</v>
      </c>
    </row>
    <row r="43" ht="14.25" customHeight="1" spans="1:10">
      <c r="A43" s="14">
        <v>4</v>
      </c>
      <c r="C43" s="16">
        <v>0.513888888888889</v>
      </c>
      <c r="D43" s="20" t="s">
        <v>19</v>
      </c>
      <c r="E43" s="18">
        <v>61</v>
      </c>
      <c r="F43" s="14">
        <f>196-Sheet1!$E43</f>
        <v>135</v>
      </c>
      <c r="G43" s="17" t="s">
        <v>13</v>
      </c>
      <c r="H43" s="17" t="s">
        <v>14</v>
      </c>
      <c r="I43" s="14">
        <v>33.8</v>
      </c>
      <c r="J43" s="14">
        <v>0.4</v>
      </c>
    </row>
    <row r="44" ht="14.25" customHeight="1" spans="1:10">
      <c r="A44" s="14">
        <v>4</v>
      </c>
      <c r="C44" s="16">
        <v>0.517361111111111</v>
      </c>
      <c r="D44" s="20" t="s">
        <v>19</v>
      </c>
      <c r="E44" s="18">
        <v>72</v>
      </c>
      <c r="F44" s="14">
        <f>196-Sheet1!$E44</f>
        <v>124</v>
      </c>
      <c r="G44" s="17" t="s">
        <v>13</v>
      </c>
      <c r="H44" s="17" t="s">
        <v>14</v>
      </c>
      <c r="I44" s="14">
        <v>33.8</v>
      </c>
      <c r="J44" s="14">
        <v>0.4</v>
      </c>
    </row>
    <row r="45" ht="14.25" customHeight="1" spans="1:10">
      <c r="A45" s="14">
        <v>4</v>
      </c>
      <c r="C45" s="16">
        <v>0.520833333333333</v>
      </c>
      <c r="D45" s="20" t="s">
        <v>19</v>
      </c>
      <c r="E45" s="18">
        <v>89</v>
      </c>
      <c r="F45" s="14">
        <f>196-Sheet1!$E45</f>
        <v>107</v>
      </c>
      <c r="G45" s="17" t="s">
        <v>13</v>
      </c>
      <c r="H45" s="17" t="s">
        <v>14</v>
      </c>
      <c r="I45" s="14">
        <v>33.8</v>
      </c>
      <c r="J45" s="14">
        <v>0.4</v>
      </c>
    </row>
    <row r="46" ht="14.25" customHeight="1" spans="1:10">
      <c r="A46" s="14">
        <v>4</v>
      </c>
      <c r="C46" s="16">
        <v>0.524305555555556</v>
      </c>
      <c r="D46" s="20" t="s">
        <v>19</v>
      </c>
      <c r="E46" s="18">
        <v>98</v>
      </c>
      <c r="F46" s="14">
        <f>196-Sheet1!$E46</f>
        <v>98</v>
      </c>
      <c r="G46" s="17" t="s">
        <v>13</v>
      </c>
      <c r="H46" s="17" t="s">
        <v>14</v>
      </c>
      <c r="I46" s="14">
        <v>33.8</v>
      </c>
      <c r="J46" s="14">
        <v>0.4</v>
      </c>
    </row>
    <row r="47" ht="14.25" customHeight="1" spans="1:10">
      <c r="A47" s="14">
        <v>4</v>
      </c>
      <c r="C47" s="16">
        <v>0.527777777777778</v>
      </c>
      <c r="D47" s="20" t="s">
        <v>19</v>
      </c>
      <c r="E47" s="18">
        <v>125</v>
      </c>
      <c r="F47" s="14">
        <f>196-Sheet1!$E47</f>
        <v>71</v>
      </c>
      <c r="G47" s="17" t="s">
        <v>13</v>
      </c>
      <c r="H47" s="17" t="s">
        <v>14</v>
      </c>
      <c r="I47" s="14">
        <v>33.8</v>
      </c>
      <c r="J47" s="14">
        <v>0.4</v>
      </c>
    </row>
    <row r="48" ht="14.25" customHeight="1" spans="1:10">
      <c r="A48" s="14">
        <v>4</v>
      </c>
      <c r="C48" s="16">
        <v>0.53125</v>
      </c>
      <c r="D48" s="20" t="s">
        <v>19</v>
      </c>
      <c r="E48" s="18">
        <v>119</v>
      </c>
      <c r="F48" s="14">
        <f>196-Sheet1!$E48</f>
        <v>77</v>
      </c>
      <c r="G48" s="17" t="s">
        <v>13</v>
      </c>
      <c r="H48" s="17" t="s">
        <v>14</v>
      </c>
      <c r="I48" s="14">
        <v>33.8</v>
      </c>
      <c r="J48" s="14">
        <v>0.4</v>
      </c>
    </row>
    <row r="49" ht="14.25" customHeight="1" spans="1:10">
      <c r="A49" s="14">
        <v>4</v>
      </c>
      <c r="C49" s="16">
        <v>0.534722222222222</v>
      </c>
      <c r="D49" s="20" t="s">
        <v>19</v>
      </c>
      <c r="E49" s="18">
        <v>123</v>
      </c>
      <c r="F49" s="14">
        <f>196-Sheet1!$E49</f>
        <v>73</v>
      </c>
      <c r="G49" s="17" t="s">
        <v>13</v>
      </c>
      <c r="H49" s="17" t="s">
        <v>14</v>
      </c>
      <c r="I49" s="14">
        <v>33.8</v>
      </c>
      <c r="J49" s="14">
        <v>0.4</v>
      </c>
    </row>
    <row r="50" ht="14.25" customHeight="1" spans="1:10">
      <c r="A50" s="14">
        <v>4</v>
      </c>
      <c r="C50" s="16">
        <v>0.538194444444444</v>
      </c>
      <c r="D50" s="20" t="s">
        <v>19</v>
      </c>
      <c r="E50" s="18">
        <v>136</v>
      </c>
      <c r="F50" s="14">
        <f>196-Sheet1!$E50</f>
        <v>60</v>
      </c>
      <c r="G50" s="17" t="s">
        <v>13</v>
      </c>
      <c r="H50" s="17" t="s">
        <v>14</v>
      </c>
      <c r="I50" s="14">
        <v>33.8</v>
      </c>
      <c r="J50" s="14">
        <v>0.4</v>
      </c>
    </row>
    <row r="51" ht="14.25" customHeight="1" spans="1:10">
      <c r="A51" s="14">
        <v>5</v>
      </c>
      <c r="B51" s="21">
        <v>46286</v>
      </c>
      <c r="C51" s="16">
        <v>0.5</v>
      </c>
      <c r="D51" s="20" t="s">
        <v>20</v>
      </c>
      <c r="E51" s="18">
        <v>60</v>
      </c>
      <c r="F51" s="14">
        <f>196-Sheet1!$E51</f>
        <v>136</v>
      </c>
      <c r="G51" s="17" t="s">
        <v>13</v>
      </c>
      <c r="H51" s="17" t="s">
        <v>14</v>
      </c>
      <c r="I51" s="14">
        <v>33.5</v>
      </c>
      <c r="J51" s="14">
        <v>2.8</v>
      </c>
    </row>
    <row r="52" ht="14.25" customHeight="1" spans="1:10">
      <c r="A52" s="14">
        <v>5</v>
      </c>
      <c r="C52" s="16">
        <v>0.503472222222222</v>
      </c>
      <c r="D52" s="20" t="s">
        <v>20</v>
      </c>
      <c r="E52" s="18">
        <v>32</v>
      </c>
      <c r="F52" s="14">
        <f>196-Sheet1!$E52</f>
        <v>164</v>
      </c>
      <c r="G52" s="17" t="s">
        <v>13</v>
      </c>
      <c r="H52" s="17" t="s">
        <v>14</v>
      </c>
      <c r="I52" s="14">
        <v>33.5</v>
      </c>
      <c r="J52" s="14">
        <v>2.8</v>
      </c>
    </row>
    <row r="53" ht="14.25" customHeight="1" spans="1:10">
      <c r="A53" s="14">
        <v>5</v>
      </c>
      <c r="C53" s="16">
        <v>0.506944444444444</v>
      </c>
      <c r="D53" s="20" t="s">
        <v>20</v>
      </c>
      <c r="E53" s="18">
        <v>26</v>
      </c>
      <c r="F53" s="14">
        <f>196-Sheet1!$E53</f>
        <v>170</v>
      </c>
      <c r="G53" s="17" t="s">
        <v>13</v>
      </c>
      <c r="H53" s="17" t="s">
        <v>14</v>
      </c>
      <c r="I53" s="14">
        <v>33.5</v>
      </c>
      <c r="J53" s="14">
        <v>2.8</v>
      </c>
    </row>
    <row r="54" ht="14.25" customHeight="1" spans="1:10">
      <c r="A54" s="14">
        <v>5</v>
      </c>
      <c r="C54" s="16">
        <v>0.510416666666667</v>
      </c>
      <c r="D54" s="20" t="s">
        <v>20</v>
      </c>
      <c r="E54" s="18">
        <v>21</v>
      </c>
      <c r="F54" s="14">
        <f>196-Sheet1!$E54</f>
        <v>175</v>
      </c>
      <c r="G54" s="17" t="s">
        <v>13</v>
      </c>
      <c r="H54" s="17" t="s">
        <v>14</v>
      </c>
      <c r="I54" s="14">
        <v>33.5</v>
      </c>
      <c r="J54" s="14">
        <v>2.8</v>
      </c>
    </row>
    <row r="55" ht="14.25" customHeight="1" spans="1:10">
      <c r="A55" s="14">
        <v>5</v>
      </c>
      <c r="C55" s="16">
        <v>0.513888888888889</v>
      </c>
      <c r="D55" s="20" t="s">
        <v>20</v>
      </c>
      <c r="E55" s="18">
        <v>32</v>
      </c>
      <c r="F55" s="14">
        <f>196-Sheet1!$E55</f>
        <v>164</v>
      </c>
      <c r="G55" s="17" t="s">
        <v>13</v>
      </c>
      <c r="H55" s="17" t="s">
        <v>14</v>
      </c>
      <c r="I55" s="14">
        <v>33.5</v>
      </c>
      <c r="J55" s="14">
        <v>2.8</v>
      </c>
    </row>
    <row r="56" ht="14.25" customHeight="1" spans="1:10">
      <c r="A56" s="14">
        <v>5</v>
      </c>
      <c r="C56" s="16">
        <v>0.517361111111111</v>
      </c>
      <c r="D56" s="20" t="s">
        <v>20</v>
      </c>
      <c r="E56" s="18">
        <v>38</v>
      </c>
      <c r="F56" s="14">
        <f>196-Sheet1!$E56</f>
        <v>158</v>
      </c>
      <c r="G56" s="17" t="s">
        <v>13</v>
      </c>
      <c r="H56" s="17" t="s">
        <v>14</v>
      </c>
      <c r="I56" s="14">
        <v>33.5</v>
      </c>
      <c r="J56" s="14">
        <v>2.8</v>
      </c>
    </row>
    <row r="57" ht="14.25" customHeight="1" spans="1:10">
      <c r="A57" s="14">
        <v>5</v>
      </c>
      <c r="C57" s="16">
        <v>0.520833333333333</v>
      </c>
      <c r="D57" s="20" t="s">
        <v>20</v>
      </c>
      <c r="E57" s="18">
        <v>48</v>
      </c>
      <c r="F57" s="14">
        <f>196-Sheet1!$E57</f>
        <v>148</v>
      </c>
      <c r="G57" s="17" t="s">
        <v>13</v>
      </c>
      <c r="H57" s="17" t="s">
        <v>14</v>
      </c>
      <c r="I57" s="14">
        <v>33.5</v>
      </c>
      <c r="J57" s="14">
        <v>2.8</v>
      </c>
    </row>
    <row r="58" ht="14.25" customHeight="1" spans="1:10">
      <c r="A58" s="14">
        <v>5</v>
      </c>
      <c r="C58" s="16">
        <v>0.524305555555556</v>
      </c>
      <c r="D58" s="20" t="s">
        <v>20</v>
      </c>
      <c r="E58" s="18">
        <v>51</v>
      </c>
      <c r="F58" s="14">
        <f>196-Sheet1!$E58</f>
        <v>145</v>
      </c>
      <c r="G58" s="17" t="s">
        <v>13</v>
      </c>
      <c r="H58" s="17" t="s">
        <v>14</v>
      </c>
      <c r="I58" s="14">
        <v>33.5</v>
      </c>
      <c r="J58" s="14">
        <v>2.8</v>
      </c>
    </row>
    <row r="59" ht="14.25" customHeight="1" spans="1:10">
      <c r="A59" s="14">
        <v>5</v>
      </c>
      <c r="C59" s="16">
        <v>0.527777777777778</v>
      </c>
      <c r="D59" s="20" t="s">
        <v>20</v>
      </c>
      <c r="E59" s="18">
        <v>83</v>
      </c>
      <c r="F59" s="14">
        <f>196-Sheet1!$E59</f>
        <v>113</v>
      </c>
      <c r="G59" s="17" t="s">
        <v>13</v>
      </c>
      <c r="H59" s="17" t="s">
        <v>14</v>
      </c>
      <c r="I59" s="14">
        <v>33.5</v>
      </c>
      <c r="J59" s="14">
        <v>2.8</v>
      </c>
    </row>
    <row r="60" ht="14.25" customHeight="1" spans="1:10">
      <c r="A60" s="14">
        <v>5</v>
      </c>
      <c r="C60" s="16">
        <v>0.53125</v>
      </c>
      <c r="D60" s="20" t="s">
        <v>20</v>
      </c>
      <c r="E60" s="18">
        <v>109</v>
      </c>
      <c r="F60" s="14">
        <f>196-Sheet1!$E60</f>
        <v>87</v>
      </c>
      <c r="G60" s="17" t="s">
        <v>13</v>
      </c>
      <c r="H60" s="17" t="s">
        <v>14</v>
      </c>
      <c r="I60" s="14">
        <v>33.5</v>
      </c>
      <c r="J60" s="14">
        <v>2.8</v>
      </c>
    </row>
    <row r="61" ht="14.25" customHeight="1" spans="1:10">
      <c r="A61" s="14">
        <v>5</v>
      </c>
      <c r="C61" s="16">
        <v>0.534722222222222</v>
      </c>
      <c r="D61" s="20" t="s">
        <v>20</v>
      </c>
      <c r="E61" s="18">
        <v>129</v>
      </c>
      <c r="F61" s="14">
        <f>196-Sheet1!$E61</f>
        <v>67</v>
      </c>
      <c r="G61" s="17" t="s">
        <v>13</v>
      </c>
      <c r="H61" s="17" t="s">
        <v>14</v>
      </c>
      <c r="I61" s="14">
        <v>33.5</v>
      </c>
      <c r="J61" s="14">
        <v>2.8</v>
      </c>
    </row>
    <row r="62" ht="14.25" customHeight="1" spans="1:10">
      <c r="A62" s="14">
        <v>5</v>
      </c>
      <c r="C62" s="16">
        <v>0.538194444444444</v>
      </c>
      <c r="D62" s="20" t="s">
        <v>20</v>
      </c>
      <c r="E62" s="18">
        <v>143</v>
      </c>
      <c r="F62" s="14">
        <f>196-Sheet1!$E62</f>
        <v>53</v>
      </c>
      <c r="G62" s="17" t="s">
        <v>13</v>
      </c>
      <c r="H62" s="17" t="s">
        <v>14</v>
      </c>
      <c r="I62" s="14">
        <v>33.5</v>
      </c>
      <c r="J62" s="14">
        <v>2.8</v>
      </c>
    </row>
    <row r="63" ht="14.25" customHeight="1" spans="1:10">
      <c r="A63" s="14">
        <v>6</v>
      </c>
      <c r="B63" s="21">
        <v>46287</v>
      </c>
      <c r="C63" s="16">
        <v>0.5</v>
      </c>
      <c r="D63" s="20" t="s">
        <v>21</v>
      </c>
      <c r="E63" s="18">
        <v>52</v>
      </c>
      <c r="F63" s="14">
        <f>196-Sheet1!$E63</f>
        <v>144</v>
      </c>
      <c r="G63" s="17" t="s">
        <v>13</v>
      </c>
      <c r="H63" s="17" t="s">
        <v>14</v>
      </c>
      <c r="I63" s="14">
        <v>32</v>
      </c>
      <c r="J63" s="14">
        <v>0.1</v>
      </c>
    </row>
    <row r="64" ht="14.25" customHeight="1" spans="1:10">
      <c r="A64" s="14">
        <v>6</v>
      </c>
      <c r="C64" s="16">
        <v>0.503472222222222</v>
      </c>
      <c r="D64" s="20" t="s">
        <v>21</v>
      </c>
      <c r="E64" s="18">
        <v>32</v>
      </c>
      <c r="F64" s="14">
        <f>196-Sheet1!$E64</f>
        <v>164</v>
      </c>
      <c r="G64" s="17" t="s">
        <v>13</v>
      </c>
      <c r="H64" s="17" t="s">
        <v>14</v>
      </c>
      <c r="I64" s="14">
        <v>32</v>
      </c>
      <c r="J64" s="14">
        <v>0.1</v>
      </c>
    </row>
    <row r="65" ht="14.25" customHeight="1" spans="1:10">
      <c r="A65" s="14">
        <v>6</v>
      </c>
      <c r="C65" s="16">
        <v>0.506944444444444</v>
      </c>
      <c r="D65" s="20" t="s">
        <v>21</v>
      </c>
      <c r="E65" s="18">
        <v>24</v>
      </c>
      <c r="F65" s="14">
        <f>196-Sheet1!$E65</f>
        <v>172</v>
      </c>
      <c r="G65" s="17" t="s">
        <v>13</v>
      </c>
      <c r="H65" s="17" t="s">
        <v>14</v>
      </c>
      <c r="I65" s="14">
        <v>32</v>
      </c>
      <c r="J65" s="14">
        <v>0.1</v>
      </c>
    </row>
    <row r="66" ht="14.25" customHeight="1" spans="1:10">
      <c r="A66" s="14">
        <v>6</v>
      </c>
      <c r="C66" s="16">
        <v>0.510416666666667</v>
      </c>
      <c r="D66" s="20" t="s">
        <v>21</v>
      </c>
      <c r="E66" s="18">
        <v>20</v>
      </c>
      <c r="F66" s="14">
        <f>196-Sheet1!$E66</f>
        <v>176</v>
      </c>
      <c r="G66" s="17" t="s">
        <v>13</v>
      </c>
      <c r="H66" s="17" t="s">
        <v>14</v>
      </c>
      <c r="I66" s="14">
        <v>32</v>
      </c>
      <c r="J66" s="14">
        <v>0.1</v>
      </c>
    </row>
    <row r="67" ht="14.25" customHeight="1" spans="1:10">
      <c r="A67" s="14">
        <v>6</v>
      </c>
      <c r="C67" s="16">
        <v>0.513888888888889</v>
      </c>
      <c r="D67" s="20" t="s">
        <v>21</v>
      </c>
      <c r="E67" s="18">
        <v>31</v>
      </c>
      <c r="F67" s="14">
        <f>196-Sheet1!$E67</f>
        <v>165</v>
      </c>
      <c r="G67" s="17" t="s">
        <v>13</v>
      </c>
      <c r="H67" s="17" t="s">
        <v>14</v>
      </c>
      <c r="I67" s="14">
        <v>32</v>
      </c>
      <c r="J67" s="14">
        <v>0.1</v>
      </c>
    </row>
    <row r="68" ht="14.25" customHeight="1" spans="1:10">
      <c r="A68" s="14">
        <v>6</v>
      </c>
      <c r="C68" s="16">
        <v>0.517361111111111</v>
      </c>
      <c r="D68" s="20" t="s">
        <v>21</v>
      </c>
      <c r="E68" s="18">
        <v>49</v>
      </c>
      <c r="F68" s="14">
        <f>196-Sheet1!$E68</f>
        <v>147</v>
      </c>
      <c r="G68" s="17" t="s">
        <v>13</v>
      </c>
      <c r="H68" s="17" t="s">
        <v>14</v>
      </c>
      <c r="I68" s="14">
        <v>32</v>
      </c>
      <c r="J68" s="14">
        <v>0.1</v>
      </c>
    </row>
    <row r="69" ht="14.25" customHeight="1" spans="1:10">
      <c r="A69" s="14">
        <v>6</v>
      </c>
      <c r="C69" s="16">
        <v>0.520833333333333</v>
      </c>
      <c r="D69" s="20" t="s">
        <v>21</v>
      </c>
      <c r="E69" s="18">
        <v>75</v>
      </c>
      <c r="F69" s="14">
        <f>196-Sheet1!$E69</f>
        <v>121</v>
      </c>
      <c r="G69" s="17" t="s">
        <v>13</v>
      </c>
      <c r="H69" s="17" t="s">
        <v>14</v>
      </c>
      <c r="I69" s="14">
        <v>32</v>
      </c>
      <c r="J69" s="14">
        <v>0.1</v>
      </c>
    </row>
    <row r="70" ht="14.25" customHeight="1" spans="1:10">
      <c r="A70" s="14">
        <v>6</v>
      </c>
      <c r="C70" s="16">
        <v>0.524305555555556</v>
      </c>
      <c r="D70" s="20" t="s">
        <v>21</v>
      </c>
      <c r="E70" s="18">
        <v>95</v>
      </c>
      <c r="F70" s="14">
        <f>196-Sheet1!$E70</f>
        <v>101</v>
      </c>
      <c r="G70" s="17" t="s">
        <v>13</v>
      </c>
      <c r="H70" s="17" t="s">
        <v>14</v>
      </c>
      <c r="I70" s="14">
        <v>32</v>
      </c>
      <c r="J70" s="14">
        <v>0.1</v>
      </c>
    </row>
    <row r="71" ht="14.25" customHeight="1" spans="1:10">
      <c r="A71" s="14">
        <v>6</v>
      </c>
      <c r="C71" s="16">
        <v>0.527777777777778</v>
      </c>
      <c r="D71" s="20" t="s">
        <v>21</v>
      </c>
      <c r="E71" s="18">
        <v>107</v>
      </c>
      <c r="F71" s="14">
        <f>196-Sheet1!$E71</f>
        <v>89</v>
      </c>
      <c r="G71" s="17" t="s">
        <v>13</v>
      </c>
      <c r="H71" s="17" t="s">
        <v>14</v>
      </c>
      <c r="I71" s="14">
        <v>32</v>
      </c>
      <c r="J71" s="14">
        <v>0.1</v>
      </c>
    </row>
    <row r="72" ht="14.25" customHeight="1" spans="1:10">
      <c r="A72" s="14">
        <v>6</v>
      </c>
      <c r="C72" s="16">
        <v>0.53125</v>
      </c>
      <c r="D72" s="20" t="s">
        <v>21</v>
      </c>
      <c r="E72" s="18">
        <v>120</v>
      </c>
      <c r="F72" s="14">
        <f>196-Sheet1!$E72</f>
        <v>76</v>
      </c>
      <c r="G72" s="17" t="s">
        <v>13</v>
      </c>
      <c r="H72" s="17" t="s">
        <v>14</v>
      </c>
      <c r="I72" s="14">
        <v>32</v>
      </c>
      <c r="J72" s="14">
        <v>0.1</v>
      </c>
    </row>
    <row r="73" ht="14.25" customHeight="1" spans="1:10">
      <c r="A73" s="14">
        <v>6</v>
      </c>
      <c r="C73" s="16">
        <v>0.534722222222222</v>
      </c>
      <c r="D73" s="20" t="s">
        <v>21</v>
      </c>
      <c r="E73" s="18">
        <v>133</v>
      </c>
      <c r="F73" s="14">
        <f>196-Sheet1!$E73</f>
        <v>63</v>
      </c>
      <c r="G73" s="17" t="s">
        <v>13</v>
      </c>
      <c r="H73" s="17" t="s">
        <v>14</v>
      </c>
      <c r="I73" s="14">
        <v>32</v>
      </c>
      <c r="J73" s="14">
        <v>0.1</v>
      </c>
    </row>
    <row r="74" ht="14.25" customHeight="1" spans="1:10">
      <c r="A74" s="14">
        <v>6</v>
      </c>
      <c r="C74" s="16">
        <v>0.538194444444444</v>
      </c>
      <c r="D74" s="20" t="s">
        <v>21</v>
      </c>
      <c r="E74" s="18">
        <v>139</v>
      </c>
      <c r="F74" s="14">
        <f>196-Sheet1!$E74</f>
        <v>57</v>
      </c>
      <c r="G74" s="17" t="s">
        <v>13</v>
      </c>
      <c r="H74" s="17" t="s">
        <v>14</v>
      </c>
      <c r="I74" s="14">
        <v>32</v>
      </c>
      <c r="J74" s="14">
        <v>0.1</v>
      </c>
    </row>
    <row r="75" ht="14.25" customHeight="1" spans="1:10">
      <c r="A75" s="14">
        <v>7</v>
      </c>
      <c r="B75" s="21">
        <v>46288</v>
      </c>
      <c r="C75" s="16">
        <v>0.5</v>
      </c>
      <c r="D75" s="20" t="s">
        <v>16</v>
      </c>
      <c r="E75" s="18">
        <v>38</v>
      </c>
      <c r="F75" s="14">
        <f>196-Sheet1!$E75</f>
        <v>158</v>
      </c>
      <c r="G75" s="17" t="s">
        <v>13</v>
      </c>
      <c r="H75" s="17" t="s">
        <v>14</v>
      </c>
      <c r="I75" s="14">
        <v>33.5</v>
      </c>
      <c r="J75" s="14">
        <v>5.1</v>
      </c>
    </row>
    <row r="76" ht="14.25" customHeight="1" spans="1:10">
      <c r="A76" s="14">
        <v>7</v>
      </c>
      <c r="C76" s="16">
        <v>0.503472222222222</v>
      </c>
      <c r="D76" s="20" t="s">
        <v>16</v>
      </c>
      <c r="E76" s="18">
        <v>24</v>
      </c>
      <c r="F76" s="14">
        <f>196-Sheet1!$E76</f>
        <v>172</v>
      </c>
      <c r="G76" s="17" t="s">
        <v>13</v>
      </c>
      <c r="H76" s="17" t="s">
        <v>14</v>
      </c>
      <c r="I76" s="14">
        <v>33.5</v>
      </c>
      <c r="J76" s="14">
        <v>5.1</v>
      </c>
    </row>
    <row r="77" ht="14.25" customHeight="1" spans="1:10">
      <c r="A77" s="14">
        <v>7</v>
      </c>
      <c r="C77" s="16">
        <v>0.506944444444444</v>
      </c>
      <c r="D77" s="20" t="s">
        <v>16</v>
      </c>
      <c r="E77" s="18">
        <v>21</v>
      </c>
      <c r="F77" s="14">
        <f>196-Sheet1!$E77</f>
        <v>175</v>
      </c>
      <c r="G77" s="17" t="s">
        <v>13</v>
      </c>
      <c r="H77" s="17" t="s">
        <v>14</v>
      </c>
      <c r="I77" s="14">
        <v>33.5</v>
      </c>
      <c r="J77" s="14">
        <v>5.1</v>
      </c>
    </row>
    <row r="78" ht="14.25" customHeight="1" spans="1:10">
      <c r="A78" s="14">
        <v>7</v>
      </c>
      <c r="C78" s="16">
        <v>0.510416666666667</v>
      </c>
      <c r="D78" s="20" t="s">
        <v>16</v>
      </c>
      <c r="E78" s="18">
        <v>16</v>
      </c>
      <c r="F78" s="14">
        <f>196-Sheet1!$E78</f>
        <v>180</v>
      </c>
      <c r="G78" s="17" t="s">
        <v>13</v>
      </c>
      <c r="H78" s="17" t="s">
        <v>14</v>
      </c>
      <c r="I78" s="14">
        <v>33.5</v>
      </c>
      <c r="J78" s="14">
        <v>5.1</v>
      </c>
    </row>
    <row r="79" ht="14.25" customHeight="1" spans="1:10">
      <c r="A79" s="14">
        <v>7</v>
      </c>
      <c r="C79" s="16">
        <v>0.513888888888889</v>
      </c>
      <c r="D79" s="20" t="s">
        <v>16</v>
      </c>
      <c r="E79" s="18">
        <v>17</v>
      </c>
      <c r="F79" s="14">
        <f>196-Sheet1!$E79</f>
        <v>179</v>
      </c>
      <c r="G79" s="17" t="s">
        <v>13</v>
      </c>
      <c r="H79" s="17" t="s">
        <v>14</v>
      </c>
      <c r="I79" s="14">
        <v>33.5</v>
      </c>
      <c r="J79" s="14">
        <v>5.1</v>
      </c>
    </row>
    <row r="80" ht="14.25" customHeight="1" spans="1:10">
      <c r="A80" s="14">
        <v>7</v>
      </c>
      <c r="C80" s="16">
        <v>0.517361111111111</v>
      </c>
      <c r="D80" s="20" t="s">
        <v>16</v>
      </c>
      <c r="E80" s="18">
        <v>29</v>
      </c>
      <c r="F80" s="14">
        <f>196-Sheet1!$E80</f>
        <v>167</v>
      </c>
      <c r="G80" s="17" t="s">
        <v>13</v>
      </c>
      <c r="H80" s="17" t="s">
        <v>14</v>
      </c>
      <c r="I80" s="14">
        <v>33.5</v>
      </c>
      <c r="J80" s="14">
        <v>5.1</v>
      </c>
    </row>
    <row r="81" ht="14.25" customHeight="1" spans="1:10">
      <c r="A81" s="14">
        <v>7</v>
      </c>
      <c r="C81" s="16">
        <v>0.520833333333333</v>
      </c>
      <c r="D81" s="20" t="s">
        <v>16</v>
      </c>
      <c r="E81" s="18">
        <v>56</v>
      </c>
      <c r="F81" s="14">
        <f>196-Sheet1!$E81</f>
        <v>140</v>
      </c>
      <c r="G81" s="17" t="s">
        <v>13</v>
      </c>
      <c r="H81" s="17" t="s">
        <v>14</v>
      </c>
      <c r="I81" s="14">
        <v>33.5</v>
      </c>
      <c r="J81" s="14">
        <v>5.1</v>
      </c>
    </row>
    <row r="82" ht="14.25" customHeight="1" spans="1:10">
      <c r="A82" s="14">
        <v>7</v>
      </c>
      <c r="C82" s="16">
        <v>0.524305555555556</v>
      </c>
      <c r="D82" s="20" t="s">
        <v>16</v>
      </c>
      <c r="E82" s="18">
        <v>77</v>
      </c>
      <c r="F82" s="14">
        <f>196-Sheet1!$E82</f>
        <v>119</v>
      </c>
      <c r="G82" s="17" t="s">
        <v>13</v>
      </c>
      <c r="H82" s="17" t="s">
        <v>14</v>
      </c>
      <c r="I82" s="14">
        <v>33.5</v>
      </c>
      <c r="J82" s="14">
        <v>5.1</v>
      </c>
    </row>
    <row r="83" ht="14.25" customHeight="1" spans="1:10">
      <c r="A83" s="14">
        <v>7</v>
      </c>
      <c r="C83" s="16">
        <v>0.527777777777778</v>
      </c>
      <c r="D83" s="20" t="s">
        <v>16</v>
      </c>
      <c r="E83" s="18">
        <v>106</v>
      </c>
      <c r="F83" s="14">
        <f>196-Sheet1!$E83</f>
        <v>90</v>
      </c>
      <c r="G83" s="17" t="s">
        <v>13</v>
      </c>
      <c r="H83" s="17" t="s">
        <v>14</v>
      </c>
      <c r="I83" s="14">
        <v>33.5</v>
      </c>
      <c r="J83" s="14">
        <v>5.1</v>
      </c>
    </row>
    <row r="84" ht="14.25" customHeight="1" spans="1:10">
      <c r="A84" s="14">
        <v>7</v>
      </c>
      <c r="C84" s="16">
        <v>0.53125</v>
      </c>
      <c r="D84" s="20" t="s">
        <v>16</v>
      </c>
      <c r="E84" s="18">
        <v>122</v>
      </c>
      <c r="F84" s="14">
        <f>196-Sheet1!$E84</f>
        <v>74</v>
      </c>
      <c r="G84" s="17" t="s">
        <v>13</v>
      </c>
      <c r="H84" s="17" t="s">
        <v>14</v>
      </c>
      <c r="I84" s="14">
        <v>33.5</v>
      </c>
      <c r="J84" s="14">
        <v>5.1</v>
      </c>
    </row>
    <row r="85" ht="14.25" customHeight="1" spans="1:10">
      <c r="A85" s="14">
        <v>7</v>
      </c>
      <c r="C85" s="16">
        <v>0.534722222222222</v>
      </c>
      <c r="D85" s="20" t="s">
        <v>16</v>
      </c>
      <c r="E85" s="18">
        <v>146</v>
      </c>
      <c r="F85" s="14">
        <f>196-Sheet1!$E85</f>
        <v>50</v>
      </c>
      <c r="G85" s="17" t="s">
        <v>13</v>
      </c>
      <c r="H85" s="17" t="s">
        <v>14</v>
      </c>
      <c r="I85" s="14">
        <v>33.5</v>
      </c>
      <c r="J85" s="14">
        <v>5.1</v>
      </c>
    </row>
    <row r="86" ht="14.25" customHeight="1" spans="1:10">
      <c r="A86" s="14">
        <v>7</v>
      </c>
      <c r="C86" s="16">
        <v>0.538194444444444</v>
      </c>
      <c r="D86" s="20" t="s">
        <v>16</v>
      </c>
      <c r="E86" s="18">
        <v>158</v>
      </c>
      <c r="F86" s="14">
        <f>196-Sheet1!$E86</f>
        <v>38</v>
      </c>
      <c r="G86" s="17" t="s">
        <v>13</v>
      </c>
      <c r="H86" s="17" t="s">
        <v>14</v>
      </c>
      <c r="I86" s="14">
        <v>33.5</v>
      </c>
      <c r="J86" s="14">
        <v>5.1</v>
      </c>
    </row>
    <row r="87" ht="14.25" customHeight="1" spans="1:10">
      <c r="A87" s="14">
        <v>8</v>
      </c>
      <c r="B87" s="21">
        <v>46289</v>
      </c>
      <c r="C87" s="16">
        <v>0.5</v>
      </c>
      <c r="D87" s="20" t="s">
        <v>18</v>
      </c>
      <c r="E87" s="18">
        <v>32</v>
      </c>
      <c r="F87" s="14">
        <f>196-Sheet1!$E87</f>
        <v>164</v>
      </c>
      <c r="G87" s="17" t="s">
        <v>13</v>
      </c>
      <c r="H87" s="17" t="s">
        <v>14</v>
      </c>
      <c r="I87" s="14">
        <v>32.8</v>
      </c>
      <c r="J87" s="14">
        <v>9.5</v>
      </c>
    </row>
    <row r="88" ht="14.25" customHeight="1" spans="1:10">
      <c r="A88" s="14">
        <v>8</v>
      </c>
      <c r="C88" s="16">
        <v>0.503472222222222</v>
      </c>
      <c r="D88" s="20" t="s">
        <v>18</v>
      </c>
      <c r="E88" s="18">
        <v>21</v>
      </c>
      <c r="F88" s="14">
        <f>196-Sheet1!$E88</f>
        <v>175</v>
      </c>
      <c r="G88" s="17" t="s">
        <v>13</v>
      </c>
      <c r="H88" s="17" t="s">
        <v>14</v>
      </c>
      <c r="I88" s="14">
        <v>32.8</v>
      </c>
      <c r="J88" s="14">
        <v>9.5</v>
      </c>
    </row>
    <row r="89" ht="14.25" customHeight="1" spans="1:10">
      <c r="A89" s="14">
        <v>8</v>
      </c>
      <c r="C89" s="16">
        <v>0.506944444444444</v>
      </c>
      <c r="D89" s="20" t="s">
        <v>18</v>
      </c>
      <c r="E89" s="18">
        <v>20</v>
      </c>
      <c r="F89" s="14">
        <f>196-Sheet1!$E89</f>
        <v>176</v>
      </c>
      <c r="G89" s="17" t="s">
        <v>13</v>
      </c>
      <c r="H89" s="17" t="s">
        <v>14</v>
      </c>
      <c r="I89" s="14">
        <v>32.8</v>
      </c>
      <c r="J89" s="14">
        <v>9.5</v>
      </c>
    </row>
    <row r="90" ht="14.25" customHeight="1" spans="1:10">
      <c r="A90" s="14">
        <v>8</v>
      </c>
      <c r="C90" s="16">
        <v>0.510416666666667</v>
      </c>
      <c r="D90" s="20" t="s">
        <v>18</v>
      </c>
      <c r="E90" s="18">
        <v>23</v>
      </c>
      <c r="F90" s="14">
        <f>196-Sheet1!$E90</f>
        <v>173</v>
      </c>
      <c r="G90" s="17" t="s">
        <v>13</v>
      </c>
      <c r="H90" s="17" t="s">
        <v>14</v>
      </c>
      <c r="I90" s="14">
        <v>32.8</v>
      </c>
      <c r="J90" s="14">
        <v>9.5</v>
      </c>
    </row>
    <row r="91" ht="14.25" customHeight="1" spans="1:10">
      <c r="A91" s="14">
        <v>8</v>
      </c>
      <c r="C91" s="16">
        <v>0.513888888888889</v>
      </c>
      <c r="D91" s="20" t="s">
        <v>18</v>
      </c>
      <c r="E91" s="18">
        <v>29</v>
      </c>
      <c r="F91" s="14">
        <f>196-Sheet1!$E91</f>
        <v>167</v>
      </c>
      <c r="G91" s="17" t="s">
        <v>13</v>
      </c>
      <c r="H91" s="17" t="s">
        <v>14</v>
      </c>
      <c r="I91" s="14">
        <v>32.8</v>
      </c>
      <c r="J91" s="14">
        <v>9.5</v>
      </c>
    </row>
    <row r="92" ht="14.25" customHeight="1" spans="1:10">
      <c r="A92" s="14">
        <v>8</v>
      </c>
      <c r="C92" s="16">
        <v>0.517361111111111</v>
      </c>
      <c r="D92" s="20" t="s">
        <v>18</v>
      </c>
      <c r="E92" s="18">
        <v>37</v>
      </c>
      <c r="F92" s="14">
        <f>196-Sheet1!$E92</f>
        <v>159</v>
      </c>
      <c r="G92" s="17" t="s">
        <v>13</v>
      </c>
      <c r="H92" s="17" t="s">
        <v>14</v>
      </c>
      <c r="I92" s="14">
        <v>32.8</v>
      </c>
      <c r="J92" s="14">
        <v>9.5</v>
      </c>
    </row>
    <row r="93" ht="14.25" customHeight="1" spans="1:10">
      <c r="A93" s="14">
        <v>8</v>
      </c>
      <c r="C93" s="16">
        <v>0.520833333333333</v>
      </c>
      <c r="D93" s="20" t="s">
        <v>18</v>
      </c>
      <c r="E93" s="18">
        <v>64</v>
      </c>
      <c r="F93" s="14">
        <f>196-Sheet1!$E93</f>
        <v>132</v>
      </c>
      <c r="G93" s="17" t="s">
        <v>13</v>
      </c>
      <c r="H93" s="17" t="s">
        <v>14</v>
      </c>
      <c r="I93" s="14">
        <v>32.8</v>
      </c>
      <c r="J93" s="14">
        <v>9.5</v>
      </c>
    </row>
    <row r="94" ht="14.25" customHeight="1" spans="1:10">
      <c r="A94" s="14">
        <v>8</v>
      </c>
      <c r="C94" s="16">
        <v>0.524305555555556</v>
      </c>
      <c r="D94" s="20" t="s">
        <v>18</v>
      </c>
      <c r="E94" s="18">
        <v>84</v>
      </c>
      <c r="F94" s="14">
        <f>196-Sheet1!$E94</f>
        <v>112</v>
      </c>
      <c r="G94" s="17" t="s">
        <v>13</v>
      </c>
      <c r="H94" s="17" t="s">
        <v>14</v>
      </c>
      <c r="I94" s="14">
        <v>32.8</v>
      </c>
      <c r="J94" s="14">
        <v>9.5</v>
      </c>
    </row>
    <row r="95" ht="14.25" customHeight="1" spans="1:10">
      <c r="A95" s="14">
        <v>8</v>
      </c>
      <c r="C95" s="16">
        <v>0.527777777777778</v>
      </c>
      <c r="D95" s="20" t="s">
        <v>18</v>
      </c>
      <c r="E95" s="18">
        <v>102</v>
      </c>
      <c r="F95" s="14">
        <f>196-Sheet1!$E95</f>
        <v>94</v>
      </c>
      <c r="G95" s="17" t="s">
        <v>13</v>
      </c>
      <c r="H95" s="17" t="s">
        <v>14</v>
      </c>
      <c r="I95" s="14">
        <v>32.8</v>
      </c>
      <c r="J95" s="14">
        <v>9.5</v>
      </c>
    </row>
    <row r="96" ht="14.25" customHeight="1" spans="1:10">
      <c r="A96" s="14">
        <v>8</v>
      </c>
      <c r="C96" s="16">
        <v>0.53125</v>
      </c>
      <c r="D96" s="20" t="s">
        <v>18</v>
      </c>
      <c r="E96" s="18">
        <v>134</v>
      </c>
      <c r="F96" s="14">
        <f>196-Sheet1!$E96</f>
        <v>62</v>
      </c>
      <c r="G96" s="17" t="s">
        <v>13</v>
      </c>
      <c r="H96" s="17" t="s">
        <v>14</v>
      </c>
      <c r="I96" s="14">
        <v>32.8</v>
      </c>
      <c r="J96" s="14">
        <v>9.5</v>
      </c>
    </row>
    <row r="97" ht="14.25" customHeight="1" spans="1:10">
      <c r="A97" s="14">
        <v>8</v>
      </c>
      <c r="C97" s="16">
        <v>0.534722222222222</v>
      </c>
      <c r="D97" s="20" t="s">
        <v>18</v>
      </c>
      <c r="E97" s="18">
        <v>145</v>
      </c>
      <c r="F97" s="14">
        <f>196-Sheet1!$E97</f>
        <v>51</v>
      </c>
      <c r="G97" s="17" t="s">
        <v>13</v>
      </c>
      <c r="H97" s="17" t="s">
        <v>14</v>
      </c>
      <c r="I97" s="14">
        <v>32.8</v>
      </c>
      <c r="J97" s="14">
        <v>9.5</v>
      </c>
    </row>
    <row r="98" ht="14.25" customHeight="1" spans="1:10">
      <c r="A98" s="14">
        <v>8</v>
      </c>
      <c r="C98" s="16">
        <v>0.538194444444444</v>
      </c>
      <c r="D98" s="20" t="s">
        <v>18</v>
      </c>
      <c r="E98" s="18">
        <v>85</v>
      </c>
      <c r="F98" s="14">
        <f>196-Sheet1!$E98</f>
        <v>111</v>
      </c>
      <c r="G98" s="17" t="s">
        <v>13</v>
      </c>
      <c r="H98" s="17" t="s">
        <v>14</v>
      </c>
      <c r="I98" s="14">
        <v>32.8</v>
      </c>
      <c r="J98" s="14">
        <v>9.5</v>
      </c>
    </row>
    <row r="99" ht="14.25" customHeight="1" spans="1:10">
      <c r="A99" s="14">
        <v>9</v>
      </c>
      <c r="B99" s="21">
        <v>46290</v>
      </c>
      <c r="C99" s="16">
        <v>0.5</v>
      </c>
      <c r="D99" s="20" t="s">
        <v>19</v>
      </c>
      <c r="E99" s="18">
        <v>150</v>
      </c>
      <c r="F99" s="14">
        <f>196-Sheet1!$E99</f>
        <v>46</v>
      </c>
      <c r="G99" s="17" t="s">
        <v>13</v>
      </c>
      <c r="H99" s="17" t="s">
        <v>22</v>
      </c>
      <c r="I99" s="14">
        <v>29</v>
      </c>
      <c r="J99" s="14">
        <v>84.4</v>
      </c>
    </row>
    <row r="100" ht="14.25" customHeight="1" spans="1:10">
      <c r="A100" s="14">
        <v>9</v>
      </c>
      <c r="C100" s="16">
        <v>0.503472222222222</v>
      </c>
      <c r="D100" s="20" t="s">
        <v>19</v>
      </c>
      <c r="E100" s="18">
        <v>126</v>
      </c>
      <c r="F100" s="14">
        <f>196-Sheet1!$E100</f>
        <v>70</v>
      </c>
      <c r="G100" s="17" t="s">
        <v>13</v>
      </c>
      <c r="H100" s="17" t="s">
        <v>22</v>
      </c>
      <c r="I100" s="14">
        <v>29</v>
      </c>
      <c r="J100" s="14">
        <v>84.4</v>
      </c>
    </row>
    <row r="101" ht="14.25" customHeight="1" spans="1:10">
      <c r="A101" s="14">
        <v>9</v>
      </c>
      <c r="C101" s="16">
        <v>0.506944444444444</v>
      </c>
      <c r="D101" s="20" t="s">
        <v>19</v>
      </c>
      <c r="E101" s="18">
        <v>116</v>
      </c>
      <c r="F101" s="14">
        <f>196-Sheet1!$E101</f>
        <v>80</v>
      </c>
      <c r="G101" s="17" t="s">
        <v>13</v>
      </c>
      <c r="H101" s="17" t="s">
        <v>22</v>
      </c>
      <c r="I101" s="14">
        <v>29</v>
      </c>
      <c r="J101" s="14">
        <v>84.4</v>
      </c>
    </row>
    <row r="102" ht="14.25" customHeight="1" spans="1:10">
      <c r="A102" s="14">
        <v>9</v>
      </c>
      <c r="C102" s="16">
        <v>0.510416666666667</v>
      </c>
      <c r="D102" s="20" t="s">
        <v>19</v>
      </c>
      <c r="E102" s="18">
        <v>105</v>
      </c>
      <c r="F102" s="14">
        <f>196-Sheet1!$E102</f>
        <v>91</v>
      </c>
      <c r="G102" s="17" t="s">
        <v>13</v>
      </c>
      <c r="H102" s="17" t="s">
        <v>22</v>
      </c>
      <c r="I102" s="14">
        <v>29</v>
      </c>
      <c r="J102" s="14">
        <v>84.4</v>
      </c>
    </row>
    <row r="103" ht="14.25" customHeight="1" spans="1:10">
      <c r="A103" s="14">
        <v>9</v>
      </c>
      <c r="C103" s="16">
        <v>0.513888888888889</v>
      </c>
      <c r="D103" s="20" t="s">
        <v>19</v>
      </c>
      <c r="E103" s="18">
        <v>98</v>
      </c>
      <c r="F103" s="14">
        <f>196-Sheet1!$E103</f>
        <v>98</v>
      </c>
      <c r="G103" s="17" t="s">
        <v>13</v>
      </c>
      <c r="H103" s="17" t="s">
        <v>22</v>
      </c>
      <c r="I103" s="14">
        <v>29</v>
      </c>
      <c r="J103" s="14">
        <v>84.4</v>
      </c>
    </row>
    <row r="104" ht="14.25" customHeight="1" spans="1:10">
      <c r="A104" s="14">
        <v>9</v>
      </c>
      <c r="C104" s="16">
        <v>0.517361111111111</v>
      </c>
      <c r="D104" s="20" t="s">
        <v>19</v>
      </c>
      <c r="E104" s="18">
        <v>100</v>
      </c>
      <c r="F104" s="14">
        <f>196-Sheet1!$E104</f>
        <v>96</v>
      </c>
      <c r="G104" s="17" t="s">
        <v>13</v>
      </c>
      <c r="H104" s="17" t="s">
        <v>22</v>
      </c>
      <c r="I104" s="14">
        <v>29</v>
      </c>
      <c r="J104" s="14">
        <v>84.4</v>
      </c>
    </row>
    <row r="105" ht="14.25" customHeight="1" spans="1:10">
      <c r="A105" s="14">
        <v>9</v>
      </c>
      <c r="C105" s="16">
        <v>0.520833333333333</v>
      </c>
      <c r="D105" s="20" t="s">
        <v>19</v>
      </c>
      <c r="E105" s="18">
        <v>96</v>
      </c>
      <c r="F105" s="14">
        <f>196-Sheet1!$E105</f>
        <v>100</v>
      </c>
      <c r="G105" s="17" t="s">
        <v>13</v>
      </c>
      <c r="H105" s="17" t="s">
        <v>22</v>
      </c>
      <c r="I105" s="14">
        <v>29</v>
      </c>
      <c r="J105" s="14">
        <v>84.4</v>
      </c>
    </row>
    <row r="106" ht="14.25" customHeight="1" spans="1:10">
      <c r="A106" s="14">
        <v>9</v>
      </c>
      <c r="C106" s="16">
        <v>0.524305555555556</v>
      </c>
      <c r="D106" s="20" t="s">
        <v>19</v>
      </c>
      <c r="E106" s="18">
        <v>106</v>
      </c>
      <c r="F106" s="14">
        <f>196-Sheet1!$E106</f>
        <v>90</v>
      </c>
      <c r="G106" s="17" t="s">
        <v>13</v>
      </c>
      <c r="H106" s="17" t="s">
        <v>22</v>
      </c>
      <c r="I106" s="14">
        <v>29</v>
      </c>
      <c r="J106" s="14">
        <v>84.4</v>
      </c>
    </row>
    <row r="107" ht="14.25" customHeight="1" spans="1:10">
      <c r="A107" s="14">
        <v>9</v>
      </c>
      <c r="C107" s="16">
        <v>0.527777777777778</v>
      </c>
      <c r="D107" s="20" t="s">
        <v>19</v>
      </c>
      <c r="E107" s="18">
        <v>110</v>
      </c>
      <c r="F107" s="14">
        <f>196-Sheet1!$E107</f>
        <v>86</v>
      </c>
      <c r="G107" s="17" t="s">
        <v>13</v>
      </c>
      <c r="H107" s="17" t="s">
        <v>22</v>
      </c>
      <c r="I107" s="14">
        <v>29</v>
      </c>
      <c r="J107" s="14">
        <v>84.4</v>
      </c>
    </row>
    <row r="108" ht="14.25" customHeight="1" spans="1:10">
      <c r="A108" s="14">
        <v>9</v>
      </c>
      <c r="C108" s="16">
        <v>0.53125</v>
      </c>
      <c r="D108" s="20" t="s">
        <v>19</v>
      </c>
      <c r="E108" s="18">
        <v>120</v>
      </c>
      <c r="F108" s="14">
        <f>196-Sheet1!$E108</f>
        <v>76</v>
      </c>
      <c r="G108" s="17" t="s">
        <v>13</v>
      </c>
      <c r="H108" s="17" t="s">
        <v>22</v>
      </c>
      <c r="I108" s="14">
        <v>29</v>
      </c>
      <c r="J108" s="14">
        <v>84.4</v>
      </c>
    </row>
    <row r="109" ht="14.25" customHeight="1" spans="1:10">
      <c r="A109" s="14">
        <v>9</v>
      </c>
      <c r="C109" s="16">
        <v>0.534722222222222</v>
      </c>
      <c r="D109" s="20" t="s">
        <v>19</v>
      </c>
      <c r="E109" s="18">
        <v>126</v>
      </c>
      <c r="F109" s="14">
        <f>196-Sheet1!$E109</f>
        <v>70</v>
      </c>
      <c r="G109" s="17" t="s">
        <v>13</v>
      </c>
      <c r="H109" s="17" t="s">
        <v>22</v>
      </c>
      <c r="I109" s="14">
        <v>29</v>
      </c>
      <c r="J109" s="14">
        <v>84.4</v>
      </c>
    </row>
    <row r="110" ht="14.25" customHeight="1" spans="1:10">
      <c r="A110" s="14">
        <v>9</v>
      </c>
      <c r="C110" s="16">
        <v>0.538194444444444</v>
      </c>
      <c r="D110" s="20" t="s">
        <v>19</v>
      </c>
      <c r="E110" s="18">
        <v>134</v>
      </c>
      <c r="F110" s="14">
        <f>196-Sheet1!E110</f>
        <v>62</v>
      </c>
      <c r="G110" s="17" t="s">
        <v>13</v>
      </c>
      <c r="H110" s="17" t="s">
        <v>22</v>
      </c>
      <c r="I110" s="14">
        <v>29</v>
      </c>
      <c r="J110" s="14">
        <v>84.4</v>
      </c>
    </row>
    <row r="111" ht="14.25" customHeight="1" spans="1:10">
      <c r="A111" s="14">
        <v>10</v>
      </c>
      <c r="B111" s="21">
        <v>46293</v>
      </c>
      <c r="C111" s="16">
        <v>0.5</v>
      </c>
      <c r="D111" s="20" t="s">
        <v>20</v>
      </c>
      <c r="E111" s="18">
        <v>95</v>
      </c>
      <c r="F111" s="14">
        <f>196-Sheet1!$E111</f>
        <v>101</v>
      </c>
      <c r="G111" s="17" t="s">
        <v>13</v>
      </c>
      <c r="H111" s="17" t="s">
        <v>23</v>
      </c>
      <c r="I111" s="14">
        <v>31.5</v>
      </c>
      <c r="J111" s="14">
        <v>0.8</v>
      </c>
    </row>
    <row r="112" ht="14.25" customHeight="1" spans="1:10">
      <c r="A112" s="14">
        <v>10</v>
      </c>
      <c r="C112" s="16">
        <v>0.503472222222222</v>
      </c>
      <c r="D112" s="20" t="s">
        <v>20</v>
      </c>
      <c r="E112" s="18">
        <v>102</v>
      </c>
      <c r="F112" s="14">
        <f>196-Sheet1!$E112</f>
        <v>94</v>
      </c>
      <c r="G112" s="17" t="s">
        <v>13</v>
      </c>
      <c r="H112" s="17" t="s">
        <v>23</v>
      </c>
      <c r="I112" s="14">
        <v>31.5</v>
      </c>
      <c r="J112" s="14">
        <v>0.8</v>
      </c>
    </row>
    <row r="113" ht="14.25" customHeight="1" spans="1:10">
      <c r="A113" s="14">
        <v>10</v>
      </c>
      <c r="C113" s="16">
        <v>0.506944444444444</v>
      </c>
      <c r="D113" s="20" t="s">
        <v>20</v>
      </c>
      <c r="E113" s="18">
        <v>110</v>
      </c>
      <c r="F113" s="14">
        <f>196-Sheet1!$E113</f>
        <v>86</v>
      </c>
      <c r="G113" s="17" t="s">
        <v>13</v>
      </c>
      <c r="H113" s="17" t="s">
        <v>23</v>
      </c>
      <c r="I113" s="14">
        <v>31.5</v>
      </c>
      <c r="J113" s="14">
        <v>0.8</v>
      </c>
    </row>
    <row r="114" ht="14.25" customHeight="1" spans="1:10">
      <c r="A114" s="14">
        <v>10</v>
      </c>
      <c r="C114" s="16">
        <v>0.510416666666667</v>
      </c>
      <c r="D114" s="20" t="s">
        <v>20</v>
      </c>
      <c r="E114" s="18">
        <v>118</v>
      </c>
      <c r="F114" s="14">
        <f>196-Sheet1!$E114</f>
        <v>78</v>
      </c>
      <c r="G114" s="17" t="s">
        <v>13</v>
      </c>
      <c r="H114" s="17" t="s">
        <v>23</v>
      </c>
      <c r="I114" s="14">
        <v>31.5</v>
      </c>
      <c r="J114" s="14">
        <v>0.8</v>
      </c>
    </row>
    <row r="115" ht="14.25" customHeight="1" spans="1:10">
      <c r="A115" s="14">
        <v>10</v>
      </c>
      <c r="C115" s="16">
        <v>0.513888888888889</v>
      </c>
      <c r="D115" s="20" t="s">
        <v>20</v>
      </c>
      <c r="E115" s="18">
        <v>125</v>
      </c>
      <c r="F115" s="14">
        <f>196-Sheet1!$E115</f>
        <v>71</v>
      </c>
      <c r="G115" s="17" t="s">
        <v>13</v>
      </c>
      <c r="H115" s="17" t="s">
        <v>23</v>
      </c>
      <c r="I115" s="14">
        <v>31.5</v>
      </c>
      <c r="J115" s="14">
        <v>0.8</v>
      </c>
    </row>
    <row r="116" ht="14.25" customHeight="1" spans="1:10">
      <c r="A116" s="14">
        <v>10</v>
      </c>
      <c r="C116" s="16">
        <v>0.517361111111111</v>
      </c>
      <c r="D116" s="20" t="s">
        <v>20</v>
      </c>
      <c r="E116" s="18">
        <v>144</v>
      </c>
      <c r="F116" s="14">
        <f>196-Sheet1!$E116</f>
        <v>52</v>
      </c>
      <c r="G116" s="17" t="s">
        <v>13</v>
      </c>
      <c r="H116" s="17" t="s">
        <v>23</v>
      </c>
      <c r="I116" s="14">
        <v>31.5</v>
      </c>
      <c r="J116" s="14">
        <v>0.8</v>
      </c>
    </row>
    <row r="117" ht="14.25" customHeight="1" spans="1:10">
      <c r="A117" s="14">
        <v>10</v>
      </c>
      <c r="C117" s="16">
        <v>0.520833333333333</v>
      </c>
      <c r="D117" s="20" t="s">
        <v>20</v>
      </c>
      <c r="E117" s="18">
        <v>149</v>
      </c>
      <c r="F117" s="14">
        <f>196-Sheet1!$E117</f>
        <v>47</v>
      </c>
      <c r="G117" s="17" t="s">
        <v>13</v>
      </c>
      <c r="H117" s="17" t="s">
        <v>23</v>
      </c>
      <c r="I117" s="14">
        <v>31.5</v>
      </c>
      <c r="J117" s="14">
        <v>0.8</v>
      </c>
    </row>
    <row r="118" ht="14.25" customHeight="1" spans="1:10">
      <c r="A118" s="14">
        <v>10</v>
      </c>
      <c r="C118" s="16">
        <v>0.524305555555556</v>
      </c>
      <c r="D118" s="20" t="s">
        <v>20</v>
      </c>
      <c r="E118" s="18">
        <v>146</v>
      </c>
      <c r="F118" s="14">
        <f>196-Sheet1!$E118</f>
        <v>50</v>
      </c>
      <c r="G118" s="17" t="s">
        <v>13</v>
      </c>
      <c r="H118" s="17" t="s">
        <v>23</v>
      </c>
      <c r="I118" s="14">
        <v>31.5</v>
      </c>
      <c r="J118" s="14">
        <v>0.8</v>
      </c>
    </row>
    <row r="119" ht="14.25" customHeight="1" spans="1:10">
      <c r="A119" s="14">
        <v>10</v>
      </c>
      <c r="C119" s="16">
        <v>0.527777777777778</v>
      </c>
      <c r="D119" s="20" t="s">
        <v>20</v>
      </c>
      <c r="E119" s="18">
        <v>160</v>
      </c>
      <c r="F119" s="14">
        <f>196-Sheet1!$E119</f>
        <v>36</v>
      </c>
      <c r="G119" s="17" t="s">
        <v>13</v>
      </c>
      <c r="H119" s="17" t="s">
        <v>23</v>
      </c>
      <c r="I119" s="14">
        <v>31.5</v>
      </c>
      <c r="J119" s="14">
        <v>0.8</v>
      </c>
    </row>
    <row r="120" ht="14.25" customHeight="1" spans="1:10">
      <c r="A120" s="14">
        <v>10</v>
      </c>
      <c r="C120" s="16">
        <v>0.53125</v>
      </c>
      <c r="D120" s="20" t="s">
        <v>20</v>
      </c>
      <c r="E120" s="18">
        <v>147</v>
      </c>
      <c r="F120" s="14">
        <f>196-Sheet1!$E120</f>
        <v>49</v>
      </c>
      <c r="G120" s="17" t="s">
        <v>13</v>
      </c>
      <c r="H120" s="17" t="s">
        <v>23</v>
      </c>
      <c r="I120" s="14">
        <v>31.5</v>
      </c>
      <c r="J120" s="14">
        <v>0.8</v>
      </c>
    </row>
    <row r="121" ht="14.25" customHeight="1" spans="1:10">
      <c r="A121" s="14">
        <v>10</v>
      </c>
      <c r="C121" s="16">
        <v>0.534722222222222</v>
      </c>
      <c r="D121" s="20" t="s">
        <v>20</v>
      </c>
      <c r="E121" s="18">
        <v>144</v>
      </c>
      <c r="F121" s="14">
        <f>196-Sheet1!$E121</f>
        <v>52</v>
      </c>
      <c r="G121" s="17" t="s">
        <v>13</v>
      </c>
      <c r="H121" s="17" t="s">
        <v>23</v>
      </c>
      <c r="I121" s="14">
        <v>31.5</v>
      </c>
      <c r="J121" s="14">
        <v>0.8</v>
      </c>
    </row>
    <row r="122" ht="14.25" customHeight="1" spans="1:10">
      <c r="A122" s="14">
        <v>10</v>
      </c>
      <c r="C122" s="16">
        <v>0.538194444444444</v>
      </c>
      <c r="D122" s="20" t="s">
        <v>20</v>
      </c>
      <c r="E122" s="18">
        <v>148</v>
      </c>
      <c r="F122" s="14">
        <f>196-Sheet1!$E122</f>
        <v>48</v>
      </c>
      <c r="G122" s="17" t="s">
        <v>13</v>
      </c>
      <c r="H122" s="17" t="s">
        <v>23</v>
      </c>
      <c r="I122" s="14">
        <v>31.5</v>
      </c>
      <c r="J122" s="14">
        <v>0.8</v>
      </c>
    </row>
    <row r="123" ht="14.25" customHeight="1" spans="1:10">
      <c r="A123" s="14">
        <v>11</v>
      </c>
      <c r="B123" s="21">
        <v>46294</v>
      </c>
      <c r="C123" s="16">
        <v>0.5</v>
      </c>
      <c r="D123" s="20" t="s">
        <v>21</v>
      </c>
      <c r="E123" s="18">
        <v>154</v>
      </c>
      <c r="F123" s="14">
        <f>196-Sheet1!$E123</f>
        <v>42</v>
      </c>
      <c r="G123" s="17" t="s">
        <v>13</v>
      </c>
      <c r="H123" s="17" t="s">
        <v>23</v>
      </c>
      <c r="I123" s="14">
        <v>33.5</v>
      </c>
      <c r="J123" s="14">
        <v>5</v>
      </c>
    </row>
    <row r="124" ht="14.25" customHeight="1" spans="1:10">
      <c r="A124" s="14">
        <v>11</v>
      </c>
      <c r="C124" s="16">
        <v>0.503472222222222</v>
      </c>
      <c r="D124" s="20" t="s">
        <v>21</v>
      </c>
      <c r="E124" s="18">
        <v>134</v>
      </c>
      <c r="F124" s="14">
        <f>196-Sheet1!$E124</f>
        <v>62</v>
      </c>
      <c r="G124" s="17" t="s">
        <v>13</v>
      </c>
      <c r="H124" s="17" t="s">
        <v>23</v>
      </c>
      <c r="I124" s="14">
        <v>33.5</v>
      </c>
      <c r="J124" s="14">
        <v>5</v>
      </c>
    </row>
    <row r="125" ht="14.25" customHeight="1" spans="1:10">
      <c r="A125" s="14">
        <v>11</v>
      </c>
      <c r="C125" s="16">
        <v>0.506944444444444</v>
      </c>
      <c r="D125" s="20" t="s">
        <v>21</v>
      </c>
      <c r="E125" s="18">
        <v>138</v>
      </c>
      <c r="F125" s="14">
        <f>196-Sheet1!$E125</f>
        <v>58</v>
      </c>
      <c r="G125" s="17" t="s">
        <v>13</v>
      </c>
      <c r="H125" s="17" t="s">
        <v>23</v>
      </c>
      <c r="I125" s="14">
        <v>33.5</v>
      </c>
      <c r="J125" s="14">
        <v>5</v>
      </c>
    </row>
    <row r="126" ht="14.25" customHeight="1" spans="1:10">
      <c r="A126" s="14">
        <v>11</v>
      </c>
      <c r="C126" s="16">
        <v>0.510416666666667</v>
      </c>
      <c r="D126" s="20" t="s">
        <v>21</v>
      </c>
      <c r="E126" s="18">
        <v>130</v>
      </c>
      <c r="F126" s="14">
        <f>196-Sheet1!$E126</f>
        <v>66</v>
      </c>
      <c r="G126" s="17" t="s">
        <v>13</v>
      </c>
      <c r="H126" s="17" t="s">
        <v>23</v>
      </c>
      <c r="I126" s="14">
        <v>33.5</v>
      </c>
      <c r="J126" s="14">
        <v>5</v>
      </c>
    </row>
    <row r="127" ht="14.25" customHeight="1" spans="1:10">
      <c r="A127" s="14">
        <v>11</v>
      </c>
      <c r="C127" s="16">
        <v>0.513888888888889</v>
      </c>
      <c r="D127" s="20" t="s">
        <v>21</v>
      </c>
      <c r="E127" s="18">
        <v>131</v>
      </c>
      <c r="F127" s="14">
        <f>196-Sheet1!$E127</f>
        <v>65</v>
      </c>
      <c r="G127" s="17" t="s">
        <v>13</v>
      </c>
      <c r="H127" s="17" t="s">
        <v>23</v>
      </c>
      <c r="I127" s="14">
        <v>33.5</v>
      </c>
      <c r="J127" s="14">
        <v>5</v>
      </c>
    </row>
    <row r="128" ht="14.25" customHeight="1" spans="1:10">
      <c r="A128" s="14">
        <v>11</v>
      </c>
      <c r="C128" s="16">
        <v>0.517361111111111</v>
      </c>
      <c r="D128" s="20" t="s">
        <v>21</v>
      </c>
      <c r="E128" s="18">
        <v>130</v>
      </c>
      <c r="F128" s="14">
        <f>196-Sheet1!$E128</f>
        <v>66</v>
      </c>
      <c r="G128" s="17" t="s">
        <v>13</v>
      </c>
      <c r="H128" s="17" t="s">
        <v>23</v>
      </c>
      <c r="I128" s="14">
        <v>33.5</v>
      </c>
      <c r="J128" s="14">
        <v>5</v>
      </c>
    </row>
    <row r="129" ht="14.25" customHeight="1" spans="1:10">
      <c r="A129" s="14">
        <v>11</v>
      </c>
      <c r="C129" s="16">
        <v>0.520833333333333</v>
      </c>
      <c r="D129" s="20" t="s">
        <v>21</v>
      </c>
      <c r="E129" s="18">
        <v>133</v>
      </c>
      <c r="F129" s="14">
        <f>196-Sheet1!$E129</f>
        <v>63</v>
      </c>
      <c r="G129" s="17" t="s">
        <v>13</v>
      </c>
      <c r="H129" s="17" t="s">
        <v>23</v>
      </c>
      <c r="I129" s="14">
        <v>33.5</v>
      </c>
      <c r="J129" s="14">
        <v>5</v>
      </c>
    </row>
    <row r="130" ht="14.25" customHeight="1" spans="1:10">
      <c r="A130" s="14">
        <v>11</v>
      </c>
      <c r="C130" s="16">
        <v>0.524305555555556</v>
      </c>
      <c r="D130" s="20" t="s">
        <v>21</v>
      </c>
      <c r="E130" s="18">
        <v>133</v>
      </c>
      <c r="F130" s="14">
        <f>196-Sheet1!$E130</f>
        <v>63</v>
      </c>
      <c r="G130" s="17" t="s">
        <v>13</v>
      </c>
      <c r="H130" s="17" t="s">
        <v>23</v>
      </c>
      <c r="I130" s="14">
        <v>33.5</v>
      </c>
      <c r="J130" s="14">
        <v>5</v>
      </c>
    </row>
    <row r="131" ht="14.25" customHeight="1" spans="1:10">
      <c r="A131" s="14">
        <v>11</v>
      </c>
      <c r="C131" s="16">
        <v>0.527777777777778</v>
      </c>
      <c r="D131" s="20" t="s">
        <v>21</v>
      </c>
      <c r="E131" s="18">
        <v>134</v>
      </c>
      <c r="F131" s="14">
        <f>196-Sheet1!$E131</f>
        <v>62</v>
      </c>
      <c r="G131" s="17" t="s">
        <v>13</v>
      </c>
      <c r="H131" s="17" t="s">
        <v>23</v>
      </c>
      <c r="I131" s="14">
        <v>33.5</v>
      </c>
      <c r="J131" s="14">
        <v>5</v>
      </c>
    </row>
    <row r="132" ht="14.25" customHeight="1" spans="1:10">
      <c r="A132" s="14">
        <v>11</v>
      </c>
      <c r="C132" s="16">
        <v>0.53125</v>
      </c>
      <c r="D132" s="20" t="s">
        <v>21</v>
      </c>
      <c r="E132" s="18">
        <v>126</v>
      </c>
      <c r="F132" s="14">
        <f>196-Sheet1!$E132</f>
        <v>70</v>
      </c>
      <c r="G132" s="17" t="s">
        <v>13</v>
      </c>
      <c r="H132" s="17" t="s">
        <v>23</v>
      </c>
      <c r="I132" s="14">
        <v>33.5</v>
      </c>
      <c r="J132" s="14">
        <v>5</v>
      </c>
    </row>
    <row r="133" ht="14.25" customHeight="1" spans="1:10">
      <c r="A133" s="14">
        <v>11</v>
      </c>
      <c r="C133" s="16">
        <v>0.534722222222222</v>
      </c>
      <c r="D133" s="20" t="s">
        <v>21</v>
      </c>
      <c r="E133" s="18">
        <v>132</v>
      </c>
      <c r="F133" s="14">
        <f>196-Sheet1!$E133</f>
        <v>64</v>
      </c>
      <c r="G133" s="17" t="s">
        <v>13</v>
      </c>
      <c r="H133" s="17" t="s">
        <v>23</v>
      </c>
      <c r="I133" s="14">
        <v>33.5</v>
      </c>
      <c r="J133" s="14">
        <v>5</v>
      </c>
    </row>
    <row r="134" ht="14.25" customHeight="1" spans="1:10">
      <c r="A134" s="14">
        <v>11</v>
      </c>
      <c r="C134" s="16">
        <v>0.538194444444444</v>
      </c>
      <c r="D134" s="20" t="s">
        <v>21</v>
      </c>
      <c r="E134" s="18">
        <v>145</v>
      </c>
      <c r="F134" s="14">
        <f>196-Sheet1!$E134</f>
        <v>51</v>
      </c>
      <c r="G134" s="17" t="s">
        <v>13</v>
      </c>
      <c r="H134" s="17" t="s">
        <v>23</v>
      </c>
      <c r="I134" s="14">
        <v>33.5</v>
      </c>
      <c r="J134" s="14">
        <v>5</v>
      </c>
    </row>
    <row r="135" ht="14.25" customHeight="1" spans="1:10">
      <c r="A135" s="14">
        <v>12</v>
      </c>
      <c r="B135" s="21">
        <v>46295</v>
      </c>
      <c r="C135" s="16">
        <v>0.5</v>
      </c>
      <c r="D135" s="20" t="s">
        <v>16</v>
      </c>
      <c r="E135" s="22">
        <v>61</v>
      </c>
      <c r="F135" s="14">
        <f>196-Sheet1!$E135</f>
        <v>135</v>
      </c>
      <c r="G135" s="17" t="s">
        <v>17</v>
      </c>
      <c r="H135" s="17" t="s">
        <v>14</v>
      </c>
      <c r="I135" s="14">
        <v>34</v>
      </c>
      <c r="J135" s="17" t="s">
        <v>0</v>
      </c>
    </row>
    <row r="136" ht="14.25" customHeight="1" spans="1:10">
      <c r="A136" s="14">
        <v>12</v>
      </c>
      <c r="C136" s="16">
        <v>0.503472222222222</v>
      </c>
      <c r="D136" s="20" t="s">
        <v>16</v>
      </c>
      <c r="E136" s="18">
        <v>53</v>
      </c>
      <c r="F136" s="14">
        <f>196-Sheet1!$E136</f>
        <v>143</v>
      </c>
      <c r="G136" s="17" t="s">
        <v>17</v>
      </c>
      <c r="H136" s="17" t="s">
        <v>14</v>
      </c>
      <c r="I136" s="14">
        <v>34</v>
      </c>
      <c r="J136" s="17" t="s">
        <v>0</v>
      </c>
    </row>
    <row r="137" ht="14.25" customHeight="1" spans="1:10">
      <c r="A137" s="14">
        <v>12</v>
      </c>
      <c r="C137" s="16">
        <v>0.506944444444444</v>
      </c>
      <c r="D137" s="20" t="s">
        <v>16</v>
      </c>
      <c r="E137" s="18">
        <v>49</v>
      </c>
      <c r="F137" s="14">
        <f>196-Sheet1!$E137</f>
        <v>147</v>
      </c>
      <c r="G137" s="17" t="s">
        <v>17</v>
      </c>
      <c r="H137" s="17" t="s">
        <v>14</v>
      </c>
      <c r="I137" s="14">
        <v>34</v>
      </c>
      <c r="J137" s="17" t="s">
        <v>0</v>
      </c>
    </row>
    <row r="138" ht="14.25" customHeight="1" spans="1:10">
      <c r="A138" s="14">
        <v>12</v>
      </c>
      <c r="C138" s="16">
        <v>0.510416666666667</v>
      </c>
      <c r="D138" s="20" t="s">
        <v>16</v>
      </c>
      <c r="E138" s="18">
        <v>44</v>
      </c>
      <c r="F138" s="14">
        <f>196-Sheet1!$E138</f>
        <v>152</v>
      </c>
      <c r="G138" s="17" t="s">
        <v>17</v>
      </c>
      <c r="H138" s="17" t="s">
        <v>14</v>
      </c>
      <c r="I138" s="14">
        <v>34</v>
      </c>
      <c r="J138" s="17" t="s">
        <v>0</v>
      </c>
    </row>
    <row r="139" ht="14.25" customHeight="1" spans="1:10">
      <c r="A139" s="14">
        <v>12</v>
      </c>
      <c r="C139" s="16">
        <v>0.513888888888889</v>
      </c>
      <c r="D139" s="20" t="s">
        <v>16</v>
      </c>
      <c r="E139" s="18">
        <v>39</v>
      </c>
      <c r="F139" s="14">
        <f>196-Sheet1!$E139</f>
        <v>157</v>
      </c>
      <c r="G139" s="17" t="s">
        <v>17</v>
      </c>
      <c r="H139" s="17" t="s">
        <v>14</v>
      </c>
      <c r="I139" s="14">
        <v>34</v>
      </c>
      <c r="J139" s="17" t="s">
        <v>0</v>
      </c>
    </row>
    <row r="140" ht="14.25" customHeight="1" spans="1:10">
      <c r="A140" s="14">
        <v>12</v>
      </c>
      <c r="C140" s="16">
        <v>0.517361111111111</v>
      </c>
      <c r="D140" s="20" t="s">
        <v>16</v>
      </c>
      <c r="E140" s="18">
        <v>66</v>
      </c>
      <c r="F140" s="14">
        <f>196-Sheet1!$E140</f>
        <v>130</v>
      </c>
      <c r="G140" s="17" t="s">
        <v>17</v>
      </c>
      <c r="H140" s="17" t="s">
        <v>14</v>
      </c>
      <c r="I140" s="14">
        <v>34</v>
      </c>
      <c r="J140" s="17" t="s">
        <v>0</v>
      </c>
    </row>
    <row r="141" ht="14.25" customHeight="1" spans="1:10">
      <c r="A141" s="14">
        <v>12</v>
      </c>
      <c r="C141" s="16">
        <v>0.520833333333333</v>
      </c>
      <c r="D141" s="20" t="s">
        <v>16</v>
      </c>
      <c r="E141" s="18">
        <v>73</v>
      </c>
      <c r="F141" s="14">
        <f>196-Sheet1!$E141</f>
        <v>123</v>
      </c>
      <c r="G141" s="17" t="s">
        <v>17</v>
      </c>
      <c r="H141" s="17" t="s">
        <v>14</v>
      </c>
      <c r="I141" s="14">
        <v>34</v>
      </c>
      <c r="J141" s="17" t="s">
        <v>0</v>
      </c>
    </row>
    <row r="142" ht="14.25" customHeight="1" spans="1:10">
      <c r="A142" s="14">
        <v>12</v>
      </c>
      <c r="C142" s="16">
        <v>0.524305555555556</v>
      </c>
      <c r="D142" s="20" t="s">
        <v>16</v>
      </c>
      <c r="E142" s="18">
        <v>75</v>
      </c>
      <c r="F142" s="14">
        <f>196-Sheet1!$E142</f>
        <v>121</v>
      </c>
      <c r="G142" s="17" t="s">
        <v>17</v>
      </c>
      <c r="H142" s="17" t="s">
        <v>14</v>
      </c>
      <c r="I142" s="14">
        <v>34</v>
      </c>
      <c r="J142" s="17" t="s">
        <v>0</v>
      </c>
    </row>
    <row r="143" ht="14.25" customHeight="1" spans="1:10">
      <c r="A143" s="14">
        <v>12</v>
      </c>
      <c r="C143" s="16">
        <v>0.527777777777778</v>
      </c>
      <c r="D143" s="20" t="s">
        <v>16</v>
      </c>
      <c r="E143" s="18">
        <v>90</v>
      </c>
      <c r="F143" s="14">
        <f>196-Sheet1!$E143</f>
        <v>106</v>
      </c>
      <c r="G143" s="17" t="s">
        <v>17</v>
      </c>
      <c r="H143" s="17" t="s">
        <v>14</v>
      </c>
      <c r="I143" s="14">
        <v>34</v>
      </c>
      <c r="J143" s="17" t="s">
        <v>0</v>
      </c>
    </row>
    <row r="144" ht="14.25" customHeight="1" spans="1:10">
      <c r="A144" s="14">
        <v>12</v>
      </c>
      <c r="C144" s="16">
        <v>0.53125</v>
      </c>
      <c r="D144" s="20" t="s">
        <v>16</v>
      </c>
      <c r="E144" s="18">
        <v>110</v>
      </c>
      <c r="F144" s="14">
        <f>196-Sheet1!$E144</f>
        <v>86</v>
      </c>
      <c r="G144" s="17" t="s">
        <v>17</v>
      </c>
      <c r="H144" s="17" t="s">
        <v>14</v>
      </c>
      <c r="I144" s="14">
        <v>34</v>
      </c>
      <c r="J144" s="17" t="s">
        <v>0</v>
      </c>
    </row>
    <row r="145" ht="14.25" customHeight="1" spans="1:13">
      <c r="A145" s="14">
        <v>12</v>
      </c>
      <c r="C145" s="16">
        <v>0.534722222222222</v>
      </c>
      <c r="D145" s="20" t="s">
        <v>16</v>
      </c>
      <c r="E145" s="18">
        <v>127</v>
      </c>
      <c r="F145" s="14">
        <f>196-Sheet1!$E145</f>
        <v>69</v>
      </c>
      <c r="G145" s="17" t="s">
        <v>17</v>
      </c>
      <c r="H145" s="17" t="s">
        <v>14</v>
      </c>
      <c r="I145" s="14">
        <v>34</v>
      </c>
      <c r="J145" s="17" t="s">
        <v>0</v>
      </c>
    </row>
    <row r="146" ht="14.25" customHeight="1" spans="1:13">
      <c r="A146" s="14">
        <v>12</v>
      </c>
      <c r="C146" s="16">
        <v>0.538194444444444</v>
      </c>
      <c r="D146" s="20" t="s">
        <v>16</v>
      </c>
      <c r="E146" s="18">
        <v>151</v>
      </c>
      <c r="F146" s="14">
        <f>196-Sheet1!$E146</f>
        <v>45</v>
      </c>
      <c r="G146" s="17" t="s">
        <v>17</v>
      </c>
      <c r="H146" s="17" t="s">
        <v>14</v>
      </c>
      <c r="I146" s="14">
        <v>34</v>
      </c>
      <c r="J146" s="17" t="s">
        <v>0</v>
      </c>
    </row>
    <row r="147" ht="14.25" customHeight="1" spans="1:13">
      <c r="D147" s="4"/>
      <c r="E147" s="5"/>
      <c r="G147" s="4"/>
      <c r="H147" s="4"/>
      <c r="K147" t="s">
        <v>24</v>
      </c>
      <c r="L147" s="23" t="s">
        <v>25</v>
      </c>
      <c r="M147" s="24" t="s">
        <v>26</v>
      </c>
    </row>
    <row r="148" ht="14.25" customHeight="1" spans="1:13">
      <c r="D148" s="4"/>
      <c r="E148" s="5"/>
      <c r="G148" s="4"/>
      <c r="H148" s="4"/>
      <c r="L148" s="23" t="s">
        <v>27</v>
      </c>
      <c r="M148" s="24" t="s">
        <v>28</v>
      </c>
    </row>
    <row r="149" ht="14.25" customHeight="1" spans="1:13">
      <c r="A149" s="24"/>
      <c r="D149" s="4"/>
      <c r="E149" s="5"/>
      <c r="G149" s="4"/>
      <c r="H149" s="4"/>
      <c r="M149" s="24" t="s">
        <v>29</v>
      </c>
    </row>
    <row r="150" ht="14.25" customHeight="1" spans="1:13">
      <c r="D150" s="4"/>
      <c r="E150" s="5"/>
      <c r="G150" s="4"/>
      <c r="H150" s="4"/>
      <c r="M150" s="24" t="s">
        <v>30</v>
      </c>
    </row>
    <row r="151" ht="14.25" customHeight="1" spans="1:13">
      <c r="D151" s="4"/>
      <c r="E151" s="5"/>
      <c r="G151" s="4"/>
      <c r="H151" s="4"/>
    </row>
    <row r="152" ht="14.25" customHeight="1" spans="1:13">
      <c r="D152" s="4"/>
      <c r="E152" s="5"/>
      <c r="G152" s="4"/>
      <c r="H152" s="4"/>
    </row>
    <row r="153" ht="14.25" customHeight="1" spans="1:13">
      <c r="D153" s="4"/>
      <c r="E153" s="5"/>
      <c r="G153" s="4"/>
      <c r="H153" s="4"/>
    </row>
    <row r="154" ht="14.25" customHeight="1" spans="1:13">
      <c r="D154" s="4"/>
      <c r="E154" s="5"/>
      <c r="G154" s="4"/>
      <c r="H154" s="4"/>
    </row>
    <row r="155" ht="14.25" customHeight="1" spans="1:13">
      <c r="D155" s="4"/>
      <c r="E155" s="5"/>
      <c r="G155" s="4"/>
      <c r="H155" s="4"/>
    </row>
    <row r="156" ht="14.25" customHeight="1" spans="1:13">
      <c r="D156" s="4"/>
      <c r="E156" s="5"/>
      <c r="G156" s="4"/>
      <c r="H156" s="4"/>
      <c r="L156" s="23" t="s">
        <v>31</v>
      </c>
      <c r="M156" s="24" t="s">
        <v>32</v>
      </c>
    </row>
    <row r="157" ht="14.25" customHeight="1" spans="1:13">
      <c r="D157" s="4"/>
      <c r="E157" s="5"/>
      <c r="G157" s="4"/>
      <c r="H157" s="4"/>
      <c r="L157" s="23" t="s">
        <v>33</v>
      </c>
      <c r="M157" s="24" t="s">
        <v>34</v>
      </c>
    </row>
    <row r="158" ht="14.25" customHeight="1" spans="1:13">
      <c r="D158" s="4"/>
      <c r="E158" s="5"/>
      <c r="G158" s="4"/>
      <c r="H158" s="4"/>
    </row>
    <row r="159" ht="14.25" customHeight="1" spans="1:13">
      <c r="D159" s="4"/>
      <c r="E159" s="5"/>
      <c r="G159" s="4"/>
      <c r="H159" s="4"/>
    </row>
    <row r="160" ht="14.25" customHeight="1" spans="1:13">
      <c r="D160" s="4"/>
      <c r="E160" s="5"/>
      <c r="G160" s="4"/>
      <c r="H160" s="4"/>
    </row>
    <row r="161" ht="14.25" customHeight="1" spans="4:8">
      <c r="D161" s="4"/>
      <c r="E161" s="5"/>
      <c r="G161" s="4"/>
      <c r="H161" s="4"/>
    </row>
    <row r="162" ht="14.25" customHeight="1" spans="4:8">
      <c r="D162" s="4"/>
      <c r="E162" s="5"/>
      <c r="G162" s="4"/>
      <c r="H162" s="4"/>
    </row>
    <row r="163" ht="14.25" customHeight="1" spans="4:8">
      <c r="D163" s="4"/>
      <c r="E163" s="5"/>
      <c r="G163" s="4"/>
      <c r="H163" s="4"/>
    </row>
    <row r="164" ht="14.25" customHeight="1" spans="4:8">
      <c r="D164" s="4"/>
      <c r="E164" s="5"/>
      <c r="G164" s="4"/>
      <c r="H164" s="4"/>
    </row>
    <row r="165" ht="14.25" customHeight="1" spans="4:8">
      <c r="D165" s="4"/>
      <c r="E165" s="5"/>
      <c r="G165" s="4"/>
      <c r="H165" s="4"/>
    </row>
    <row r="166" ht="14.25" customHeight="1" spans="4:8">
      <c r="D166" s="4"/>
      <c r="E166" s="5"/>
      <c r="G166" s="4"/>
      <c r="H166" s="4"/>
    </row>
    <row r="167" ht="14.25" customHeight="1" spans="4:8">
      <c r="D167" s="4"/>
      <c r="E167" s="5"/>
      <c r="G167" s="4"/>
      <c r="H167" s="4"/>
    </row>
    <row r="168" ht="14.25" customHeight="1" spans="4:8">
      <c r="D168" s="4"/>
      <c r="E168" s="5"/>
      <c r="G168" s="4"/>
      <c r="H168" s="4"/>
    </row>
    <row r="169" ht="14.25" customHeight="1" spans="4:8">
      <c r="D169" s="4"/>
      <c r="E169" s="5"/>
      <c r="G169" s="4"/>
      <c r="H169" s="4"/>
    </row>
    <row r="170" ht="14.25" customHeight="1" spans="4:8">
      <c r="D170" s="4"/>
      <c r="E170" s="5"/>
      <c r="G170" s="4"/>
      <c r="H170" s="4"/>
    </row>
    <row r="171" ht="14.25" customHeight="1" spans="4:8">
      <c r="D171" s="4"/>
      <c r="E171" s="5"/>
      <c r="G171" s="4"/>
      <c r="H171" s="4"/>
    </row>
    <row r="172" ht="14.25" customHeight="1" spans="4:8">
      <c r="D172" s="4"/>
      <c r="E172" s="5"/>
      <c r="G172" s="4"/>
      <c r="H172" s="4"/>
    </row>
    <row r="173" ht="14.25" customHeight="1" spans="4:8">
      <c r="D173" s="4"/>
      <c r="E173" s="5"/>
      <c r="G173" s="4"/>
      <c r="H173" s="4"/>
    </row>
    <row r="174" ht="14.25" customHeight="1" spans="4:8">
      <c r="D174" s="4"/>
      <c r="E174" s="5"/>
      <c r="G174" s="4"/>
      <c r="H174" s="4"/>
    </row>
    <row r="175" ht="14.25" customHeight="1" spans="4:8">
      <c r="D175" s="4"/>
      <c r="E175" s="5"/>
      <c r="G175" s="4"/>
      <c r="H175" s="4"/>
    </row>
    <row r="176" ht="14.25" customHeight="1" spans="4:8">
      <c r="D176" s="4"/>
      <c r="E176" s="5"/>
      <c r="G176" s="4"/>
      <c r="H176" s="4"/>
    </row>
    <row r="177" ht="14.25" customHeight="1" spans="4:8">
      <c r="D177" s="4"/>
      <c r="E177" s="5"/>
      <c r="G177" s="4"/>
      <c r="H177" s="4"/>
    </row>
    <row r="178" ht="14.25" customHeight="1" spans="4:8">
      <c r="D178" s="4"/>
      <c r="E178" s="5"/>
      <c r="G178" s="4"/>
      <c r="H178" s="4"/>
    </row>
    <row r="179" ht="14.25" customHeight="1" spans="4:8">
      <c r="D179" s="4"/>
      <c r="E179" s="5"/>
      <c r="G179" s="4"/>
      <c r="H179" s="4"/>
    </row>
    <row r="180" ht="14.25" customHeight="1" spans="4:8">
      <c r="D180" s="4"/>
      <c r="E180" s="5"/>
      <c r="G180" s="4"/>
      <c r="H180" s="4"/>
    </row>
    <row r="181" ht="14.25" customHeight="1" spans="4:8">
      <c r="D181" s="4"/>
      <c r="E181" s="5"/>
      <c r="G181" s="4"/>
      <c r="H181" s="4"/>
    </row>
    <row r="182" ht="14.25" customHeight="1" spans="4:8">
      <c r="D182" s="4"/>
      <c r="E182" s="5"/>
      <c r="G182" s="4"/>
      <c r="H182" s="4"/>
    </row>
    <row r="183" ht="14.25" customHeight="1" spans="4:8">
      <c r="D183" s="4"/>
      <c r="E183" s="5"/>
      <c r="G183" s="4"/>
      <c r="H183" s="4"/>
    </row>
    <row r="184" ht="14.25" customHeight="1" spans="4:8">
      <c r="D184" s="4"/>
      <c r="E184" s="5"/>
      <c r="G184" s="4"/>
      <c r="H184" s="4"/>
    </row>
    <row r="185" ht="14.25" customHeight="1" spans="4:8">
      <c r="D185" s="4"/>
      <c r="E185" s="5"/>
      <c r="G185" s="4"/>
      <c r="H185" s="4"/>
    </row>
    <row r="186" ht="14.25" customHeight="1" spans="4:8">
      <c r="D186" s="4"/>
      <c r="E186" s="5"/>
      <c r="G186" s="4"/>
      <c r="H186" s="4"/>
    </row>
    <row r="187" ht="14.25" customHeight="1" spans="4:8">
      <c r="D187" s="4"/>
      <c r="E187" s="5"/>
      <c r="G187" s="4"/>
      <c r="H187" s="4"/>
    </row>
    <row r="188" ht="14.25" customHeight="1" spans="4:8">
      <c r="D188" s="4"/>
      <c r="E188" s="5"/>
      <c r="G188" s="4"/>
      <c r="H188" s="4"/>
    </row>
    <row r="189" ht="14.25" customHeight="1" spans="4:8">
      <c r="D189" s="4"/>
      <c r="E189" s="5"/>
      <c r="G189" s="4"/>
      <c r="H189" s="4"/>
    </row>
    <row r="190" ht="14.25" customHeight="1" spans="4:8">
      <c r="D190" s="4"/>
      <c r="E190" s="5"/>
      <c r="G190" s="4"/>
      <c r="H190" s="4"/>
    </row>
    <row r="191" ht="14.25" customHeight="1" spans="4:8">
      <c r="D191" s="4"/>
      <c r="E191" s="5"/>
      <c r="G191" s="4"/>
      <c r="H191" s="4"/>
    </row>
    <row r="192" ht="14.25" customHeight="1" spans="4:8">
      <c r="D192" s="4"/>
      <c r="E192" s="5"/>
      <c r="G192" s="4"/>
      <c r="H192" s="4"/>
    </row>
    <row r="193" ht="14.25" customHeight="1" spans="4:8">
      <c r="D193" s="4"/>
      <c r="E193" s="5"/>
      <c r="G193" s="4"/>
      <c r="H193" s="4"/>
    </row>
    <row r="194" ht="14.25" customHeight="1" spans="4:8">
      <c r="D194" s="4"/>
      <c r="E194" s="5"/>
      <c r="G194" s="4"/>
      <c r="H194" s="4"/>
    </row>
    <row r="195" ht="14.25" customHeight="1" spans="4:8">
      <c r="D195" s="4"/>
      <c r="E195" s="5"/>
      <c r="G195" s="4"/>
      <c r="H195" s="4"/>
    </row>
    <row r="196" ht="14.25" customHeight="1" spans="4:8">
      <c r="D196" s="4"/>
      <c r="E196" s="5"/>
      <c r="G196" s="4"/>
      <c r="H196" s="4"/>
    </row>
    <row r="197" ht="14.25" customHeight="1" spans="4:8">
      <c r="D197" s="4"/>
      <c r="E197" s="5"/>
      <c r="G197" s="4"/>
      <c r="H197" s="4"/>
    </row>
    <row r="198" ht="14.25" customHeight="1" spans="4:8">
      <c r="D198" s="4"/>
      <c r="E198" s="5"/>
      <c r="G198" s="4"/>
      <c r="H198" s="4"/>
    </row>
    <row r="199" ht="14.25" customHeight="1" spans="4:8">
      <c r="D199" s="4"/>
      <c r="E199" s="5"/>
      <c r="G199" s="4"/>
      <c r="H199" s="4"/>
    </row>
    <row r="200" ht="14.25" customHeight="1" spans="4:8">
      <c r="D200" s="4"/>
      <c r="E200" s="5"/>
      <c r="G200" s="4"/>
      <c r="H200" s="4"/>
    </row>
    <row r="201" ht="14.25" customHeight="1" spans="4:8">
      <c r="D201" s="4"/>
      <c r="E201" s="5"/>
      <c r="G201" s="4"/>
      <c r="H201" s="4"/>
    </row>
    <row r="202" ht="14.25" customHeight="1" spans="4:8">
      <c r="D202" s="4"/>
      <c r="E202" s="5"/>
      <c r="G202" s="4"/>
      <c r="H202" s="4"/>
    </row>
    <row r="203" ht="14.25" customHeight="1" spans="4:8">
      <c r="D203" s="4"/>
      <c r="E203" s="5"/>
      <c r="G203" s="4"/>
      <c r="H203" s="4"/>
    </row>
    <row r="204" ht="14.25" customHeight="1" spans="4:8">
      <c r="D204" s="4"/>
      <c r="E204" s="5"/>
      <c r="G204" s="4"/>
      <c r="H204" s="4"/>
    </row>
    <row r="205" ht="14.25" customHeight="1" spans="4:8">
      <c r="D205" s="4"/>
      <c r="E205" s="5"/>
      <c r="G205" s="4"/>
      <c r="H205" s="4"/>
    </row>
    <row r="206" ht="14.25" customHeight="1" spans="4:8">
      <c r="D206" s="4"/>
      <c r="E206" s="5"/>
      <c r="G206" s="4"/>
      <c r="H206" s="4"/>
    </row>
    <row r="207" ht="14.25" customHeight="1" spans="4:8">
      <c r="D207" s="4"/>
      <c r="E207" s="5"/>
      <c r="G207" s="4"/>
      <c r="H207" s="4"/>
    </row>
    <row r="208" ht="14.25" customHeight="1" spans="4:8">
      <c r="D208" s="4"/>
      <c r="E208" s="5"/>
      <c r="G208" s="4"/>
      <c r="H208" s="4"/>
    </row>
    <row r="209" ht="14.25" customHeight="1" spans="4:8">
      <c r="D209" s="4"/>
      <c r="E209" s="5"/>
      <c r="G209" s="4"/>
      <c r="H209" s="4"/>
    </row>
    <row r="210" ht="14.25" customHeight="1" spans="4:8">
      <c r="D210" s="4"/>
      <c r="E210" s="5"/>
      <c r="G210" s="4"/>
      <c r="H210" s="4"/>
    </row>
    <row r="211" ht="14.25" customHeight="1" spans="4:8">
      <c r="D211" s="4"/>
      <c r="E211" s="5"/>
      <c r="G211" s="4"/>
      <c r="H211" s="4"/>
    </row>
    <row r="212" ht="14.25" customHeight="1" spans="4:8">
      <c r="D212" s="4"/>
      <c r="E212" s="5"/>
      <c r="G212" s="4"/>
      <c r="H212" s="4"/>
    </row>
    <row r="213" ht="14.25" customHeight="1" spans="4:8">
      <c r="D213" s="4"/>
      <c r="E213" s="5"/>
      <c r="G213" s="4"/>
      <c r="H213" s="4"/>
    </row>
    <row r="214" ht="14.25" customHeight="1" spans="4:8">
      <c r="D214" s="4"/>
      <c r="E214" s="5"/>
      <c r="G214" s="4"/>
      <c r="H214" s="4"/>
    </row>
    <row r="215" ht="14.25" customHeight="1" spans="4:8">
      <c r="D215" s="4"/>
      <c r="E215" s="5"/>
      <c r="G215" s="4"/>
      <c r="H215" s="4"/>
    </row>
    <row r="216" ht="14.25" customHeight="1" spans="4:8">
      <c r="D216" s="4"/>
      <c r="E216" s="5"/>
      <c r="G216" s="4"/>
      <c r="H216" s="4"/>
    </row>
    <row r="217" ht="14.25" customHeight="1" spans="4:8">
      <c r="D217" s="4"/>
      <c r="E217" s="5"/>
      <c r="G217" s="4"/>
      <c r="H217" s="4"/>
    </row>
    <row r="218" ht="14.25" customHeight="1" spans="4:8">
      <c r="D218" s="4"/>
      <c r="E218" s="5"/>
      <c r="G218" s="4"/>
      <c r="H218" s="4"/>
    </row>
    <row r="219" ht="14.25" customHeight="1" spans="4:8">
      <c r="D219" s="4"/>
      <c r="E219" s="5"/>
      <c r="G219" s="4"/>
      <c r="H219" s="4"/>
    </row>
    <row r="220" ht="14.25" customHeight="1" spans="4:8">
      <c r="D220" s="4"/>
      <c r="E220" s="5"/>
      <c r="G220" s="4"/>
      <c r="H220" s="4"/>
    </row>
    <row r="221" ht="14.25" customHeight="1" spans="4:8">
      <c r="D221" s="4"/>
      <c r="E221" s="5"/>
      <c r="G221" s="4"/>
      <c r="H221" s="4"/>
    </row>
    <row r="222" ht="14.25" customHeight="1" spans="4:8">
      <c r="D222" s="4"/>
      <c r="E222" s="5"/>
      <c r="G222" s="4"/>
      <c r="H222" s="4"/>
    </row>
    <row r="223" ht="14.25" customHeight="1" spans="4:8">
      <c r="D223" s="4"/>
      <c r="E223" s="5"/>
      <c r="G223" s="4"/>
      <c r="H223" s="4"/>
    </row>
    <row r="224" ht="14.25" customHeight="1" spans="4:8">
      <c r="D224" s="4"/>
      <c r="E224" s="5"/>
      <c r="G224" s="4"/>
      <c r="H224" s="4"/>
    </row>
    <row r="225" ht="14.25" customHeight="1" spans="4:8">
      <c r="D225" s="4"/>
      <c r="E225" s="5"/>
      <c r="G225" s="4"/>
      <c r="H225" s="4"/>
    </row>
    <row r="226" ht="14.25" customHeight="1" spans="4:8">
      <c r="D226" s="4"/>
      <c r="E226" s="5"/>
      <c r="G226" s="4"/>
      <c r="H226" s="4"/>
    </row>
    <row r="227" ht="14.25" customHeight="1" spans="4:8">
      <c r="D227" s="4"/>
      <c r="E227" s="5"/>
      <c r="G227" s="4"/>
      <c r="H227" s="4"/>
    </row>
    <row r="228" ht="14.25" customHeight="1" spans="4:8">
      <c r="D228" s="4"/>
      <c r="E228" s="5"/>
      <c r="G228" s="4"/>
      <c r="H228" s="4"/>
    </row>
    <row r="229" ht="14.25" customHeight="1" spans="4:8">
      <c r="D229" s="4"/>
      <c r="E229" s="5"/>
      <c r="G229" s="4"/>
      <c r="H229" s="4"/>
    </row>
    <row r="230" ht="14.25" customHeight="1" spans="4:8">
      <c r="D230" s="4"/>
      <c r="E230" s="5"/>
      <c r="G230" s="4"/>
      <c r="H230" s="4"/>
    </row>
    <row r="231" ht="14.25" customHeight="1" spans="4:8">
      <c r="D231" s="4"/>
      <c r="E231" s="5"/>
      <c r="G231" s="4"/>
      <c r="H231" s="4"/>
    </row>
    <row r="232" ht="14.25" customHeight="1" spans="4:8">
      <c r="D232" s="4"/>
      <c r="E232" s="5"/>
      <c r="G232" s="4"/>
      <c r="H232" s="4"/>
    </row>
    <row r="233" ht="14.25" customHeight="1" spans="4:8">
      <c r="D233" s="4"/>
      <c r="E233" s="5"/>
      <c r="G233" s="4"/>
      <c r="H233" s="4"/>
    </row>
    <row r="234" ht="14.25" customHeight="1" spans="4:8">
      <c r="D234" s="4"/>
      <c r="E234" s="5"/>
      <c r="G234" s="4"/>
      <c r="H234" s="4"/>
    </row>
    <row r="235" ht="14.25" customHeight="1" spans="4:8">
      <c r="D235" s="4"/>
      <c r="E235" s="5"/>
      <c r="G235" s="4"/>
      <c r="H235" s="4"/>
    </row>
    <row r="236" ht="14.25" customHeight="1" spans="4:8">
      <c r="D236" s="4"/>
      <c r="E236" s="5"/>
      <c r="G236" s="4"/>
      <c r="H236" s="4"/>
    </row>
    <row r="237" ht="14.25" customHeight="1" spans="4:8">
      <c r="D237" s="4"/>
      <c r="E237" s="5"/>
      <c r="G237" s="4"/>
      <c r="H237" s="4"/>
    </row>
    <row r="238" ht="14.25" customHeight="1" spans="4:8">
      <c r="D238" s="4"/>
      <c r="E238" s="5"/>
      <c r="G238" s="4"/>
      <c r="H238" s="4"/>
    </row>
    <row r="239" ht="14.25" customHeight="1" spans="4:8">
      <c r="D239" s="4"/>
      <c r="E239" s="5"/>
      <c r="G239" s="4"/>
      <c r="H239" s="4"/>
    </row>
    <row r="240" ht="14.25" customHeight="1" spans="4:8">
      <c r="D240" s="4"/>
      <c r="E240" s="5"/>
      <c r="G240" s="4"/>
      <c r="H240" s="4"/>
    </row>
    <row r="241" ht="14.25" customHeight="1" spans="4:8">
      <c r="D241" s="4"/>
      <c r="E241" s="5"/>
      <c r="G241" s="4"/>
      <c r="H241" s="4"/>
    </row>
    <row r="242" ht="14.25" customHeight="1" spans="4:8">
      <c r="D242" s="4"/>
      <c r="E242" s="5"/>
      <c r="G242" s="4"/>
      <c r="H242" s="4"/>
    </row>
    <row r="243" ht="14.25" customHeight="1" spans="4:8">
      <c r="D243" s="4"/>
      <c r="E243" s="5"/>
      <c r="G243" s="4"/>
      <c r="H243" s="4"/>
    </row>
    <row r="244" ht="14.25" customHeight="1" spans="4:8">
      <c r="D244" s="4"/>
      <c r="E244" s="5"/>
      <c r="G244" s="4"/>
      <c r="H244" s="4"/>
    </row>
    <row r="245" ht="14.25" customHeight="1" spans="4:8">
      <c r="D245" s="4"/>
      <c r="E245" s="5"/>
      <c r="G245" s="4"/>
      <c r="H245" s="4"/>
    </row>
    <row r="246" ht="14.25" customHeight="1" spans="4:8">
      <c r="D246" s="4"/>
      <c r="E246" s="5"/>
      <c r="G246" s="4"/>
      <c r="H246" s="4"/>
    </row>
    <row r="247" ht="14.25" customHeight="1" spans="4:8">
      <c r="D247" s="4"/>
      <c r="E247" s="5"/>
      <c r="G247" s="4"/>
      <c r="H247" s="4"/>
    </row>
    <row r="248" ht="14.25" customHeight="1" spans="4:8">
      <c r="D248" s="4"/>
      <c r="E248" s="5"/>
      <c r="G248" s="4"/>
      <c r="H248" s="4"/>
    </row>
    <row r="249" ht="14.25" customHeight="1" spans="4:8">
      <c r="D249" s="4"/>
      <c r="E249" s="5"/>
      <c r="G249" s="4"/>
      <c r="H249" s="4"/>
    </row>
    <row r="250" ht="14.25" customHeight="1" spans="4:8">
      <c r="D250" s="4"/>
      <c r="E250" s="5"/>
      <c r="G250" s="4"/>
      <c r="H250" s="4"/>
    </row>
    <row r="251" ht="14.25" customHeight="1" spans="4:8">
      <c r="D251" s="4"/>
      <c r="E251" s="5"/>
      <c r="G251" s="4"/>
      <c r="H251" s="4"/>
    </row>
    <row r="252" ht="14.25" customHeight="1" spans="4:8">
      <c r="D252" s="4"/>
      <c r="E252" s="5"/>
      <c r="G252" s="4"/>
      <c r="H252" s="4"/>
    </row>
    <row r="253" ht="14.25" customHeight="1" spans="4:8">
      <c r="D253" s="4"/>
      <c r="E253" s="5"/>
      <c r="G253" s="4"/>
      <c r="H253" s="4"/>
    </row>
    <row r="254" ht="14.25" customHeight="1" spans="4:8">
      <c r="D254" s="4"/>
      <c r="E254" s="5"/>
      <c r="G254" s="4"/>
      <c r="H254" s="4"/>
    </row>
    <row r="255" ht="14.25" customHeight="1" spans="4:8">
      <c r="D255" s="4"/>
      <c r="E255" s="5"/>
      <c r="G255" s="4"/>
      <c r="H255" s="4"/>
    </row>
    <row r="256" ht="14.25" customHeight="1" spans="4:8">
      <c r="D256" s="4"/>
      <c r="E256" s="5"/>
      <c r="G256" s="4"/>
      <c r="H256" s="4"/>
    </row>
    <row r="257" ht="14.25" customHeight="1" spans="4:8">
      <c r="D257" s="4"/>
      <c r="E257" s="5"/>
      <c r="G257" s="4"/>
      <c r="H257" s="4"/>
    </row>
    <row r="258" ht="14.25" customHeight="1" spans="4:8">
      <c r="D258" s="4"/>
      <c r="E258" s="5"/>
      <c r="G258" s="4"/>
      <c r="H258" s="4"/>
    </row>
    <row r="259" ht="14.25" customHeight="1" spans="4:8">
      <c r="D259" s="4"/>
      <c r="E259" s="5"/>
      <c r="G259" s="4"/>
      <c r="H259" s="4"/>
    </row>
    <row r="260" ht="14.25" customHeight="1" spans="4:8">
      <c r="D260" s="4"/>
      <c r="E260" s="5"/>
      <c r="G260" s="4"/>
      <c r="H260" s="4"/>
    </row>
    <row r="261" ht="14.25" customHeight="1" spans="4:8">
      <c r="D261" s="4"/>
      <c r="E261" s="5"/>
      <c r="G261" s="4"/>
      <c r="H261" s="4"/>
    </row>
    <row r="262" ht="14.25" customHeight="1" spans="4:8">
      <c r="D262" s="4"/>
      <c r="E262" s="5"/>
      <c r="G262" s="4"/>
      <c r="H262" s="4"/>
    </row>
    <row r="263" ht="14.25" customHeight="1" spans="4:8">
      <c r="D263" s="4"/>
      <c r="E263" s="5"/>
      <c r="G263" s="4"/>
      <c r="H263" s="4"/>
    </row>
    <row r="264" ht="14.25" customHeight="1" spans="4:8">
      <c r="D264" s="4"/>
      <c r="E264" s="5"/>
      <c r="G264" s="4"/>
      <c r="H264" s="4"/>
    </row>
    <row r="265" ht="14.25" customHeight="1" spans="4:8">
      <c r="D265" s="4"/>
      <c r="E265" s="5"/>
      <c r="G265" s="4"/>
      <c r="H265" s="4"/>
    </row>
    <row r="266" ht="14.25" customHeight="1" spans="4:8">
      <c r="D266" s="4"/>
      <c r="E266" s="5"/>
      <c r="G266" s="4"/>
      <c r="H266" s="4"/>
    </row>
    <row r="267" ht="14.25" customHeight="1" spans="4:8">
      <c r="D267" s="4"/>
      <c r="E267" s="5"/>
      <c r="G267" s="4"/>
      <c r="H267" s="4"/>
    </row>
    <row r="268" ht="14.25" customHeight="1" spans="4:8">
      <c r="D268" s="4"/>
      <c r="E268" s="5"/>
      <c r="G268" s="4"/>
      <c r="H268" s="4"/>
    </row>
    <row r="269" ht="14.25" customHeight="1" spans="4:8">
      <c r="D269" s="4"/>
      <c r="E269" s="5"/>
      <c r="G269" s="4"/>
      <c r="H269" s="4"/>
    </row>
    <row r="270" ht="14.25" customHeight="1" spans="4:8">
      <c r="D270" s="4"/>
      <c r="E270" s="5"/>
      <c r="G270" s="4"/>
      <c r="H270" s="4"/>
    </row>
    <row r="271" ht="14.25" customHeight="1" spans="4:8">
      <c r="D271" s="4"/>
      <c r="E271" s="5"/>
      <c r="G271" s="4"/>
      <c r="H271" s="4"/>
    </row>
    <row r="272" ht="14.25" customHeight="1" spans="4:8">
      <c r="D272" s="4"/>
      <c r="E272" s="5"/>
      <c r="G272" s="4"/>
      <c r="H272" s="4"/>
    </row>
    <row r="273" ht="14.25" customHeight="1" spans="4:8">
      <c r="D273" s="4"/>
      <c r="E273" s="5"/>
      <c r="G273" s="4"/>
      <c r="H273" s="4"/>
    </row>
    <row r="274" ht="14.25" customHeight="1" spans="4:8">
      <c r="D274" s="4"/>
      <c r="E274" s="5"/>
      <c r="G274" s="4"/>
      <c r="H274" s="4"/>
    </row>
    <row r="275" ht="14.25" customHeight="1" spans="4:8">
      <c r="D275" s="4"/>
      <c r="E275" s="5"/>
      <c r="G275" s="4"/>
      <c r="H275" s="4"/>
    </row>
    <row r="276" ht="14.25" customHeight="1" spans="4:8">
      <c r="D276" s="4"/>
      <c r="E276" s="5"/>
      <c r="G276" s="4"/>
      <c r="H276" s="4"/>
    </row>
    <row r="277" ht="14.25" customHeight="1" spans="4:8">
      <c r="D277" s="4"/>
      <c r="E277" s="5"/>
      <c r="G277" s="4"/>
      <c r="H277" s="4"/>
    </row>
    <row r="278" ht="14.25" customHeight="1" spans="4:8">
      <c r="D278" s="4"/>
      <c r="E278" s="5"/>
      <c r="G278" s="4"/>
      <c r="H278" s="4"/>
    </row>
    <row r="279" ht="14.25" customHeight="1" spans="4:8">
      <c r="D279" s="4"/>
      <c r="E279" s="5"/>
      <c r="G279" s="4"/>
      <c r="H279" s="4"/>
    </row>
    <row r="280" ht="14.25" customHeight="1" spans="4:8">
      <c r="D280" s="4"/>
      <c r="E280" s="5"/>
      <c r="G280" s="4"/>
      <c r="H280" s="4"/>
    </row>
    <row r="281" ht="14.25" customHeight="1" spans="4:8">
      <c r="D281" s="4"/>
      <c r="E281" s="5"/>
      <c r="G281" s="4"/>
      <c r="H281" s="4"/>
    </row>
    <row r="282" ht="14.25" customHeight="1" spans="4:8">
      <c r="D282" s="4"/>
      <c r="E282" s="5"/>
      <c r="G282" s="4"/>
      <c r="H282" s="4"/>
    </row>
    <row r="283" ht="14.25" customHeight="1" spans="4:8">
      <c r="D283" s="4"/>
      <c r="E283" s="5"/>
      <c r="G283" s="4"/>
      <c r="H283" s="4"/>
    </row>
    <row r="284" ht="14.25" customHeight="1" spans="4:8">
      <c r="D284" s="4"/>
      <c r="E284" s="5"/>
      <c r="G284" s="4"/>
      <c r="H284" s="4"/>
    </row>
    <row r="285" ht="14.25" customHeight="1" spans="4:8">
      <c r="D285" s="4"/>
      <c r="E285" s="5"/>
      <c r="G285" s="4"/>
      <c r="H285" s="4"/>
    </row>
    <row r="286" ht="14.25" customHeight="1" spans="4:8">
      <c r="D286" s="4"/>
      <c r="E286" s="5"/>
      <c r="G286" s="4"/>
      <c r="H286" s="4"/>
    </row>
    <row r="287" ht="14.25" customHeight="1" spans="4:8">
      <c r="D287" s="4"/>
      <c r="E287" s="5"/>
      <c r="G287" s="4"/>
      <c r="H287" s="4"/>
    </row>
    <row r="288" ht="14.25" customHeight="1" spans="4:8">
      <c r="D288" s="4"/>
      <c r="E288" s="5"/>
      <c r="G288" s="4"/>
      <c r="H288" s="4"/>
    </row>
    <row r="289" ht="14.25" customHeight="1" spans="4:8">
      <c r="D289" s="4"/>
      <c r="E289" s="5"/>
      <c r="G289" s="4"/>
      <c r="H289" s="4"/>
    </row>
    <row r="290" ht="14.25" customHeight="1" spans="4:8">
      <c r="D290" s="4"/>
      <c r="E290" s="5"/>
      <c r="G290" s="4"/>
      <c r="H290" s="4"/>
    </row>
    <row r="291" ht="14.25" customHeight="1" spans="4:8">
      <c r="D291" s="4"/>
      <c r="E291" s="5"/>
      <c r="G291" s="4"/>
      <c r="H291" s="4"/>
    </row>
    <row r="292" ht="14.25" customHeight="1" spans="4:8">
      <c r="D292" s="4"/>
      <c r="E292" s="5"/>
      <c r="G292" s="4"/>
      <c r="H292" s="4"/>
    </row>
    <row r="293" ht="14.25" customHeight="1" spans="4:8">
      <c r="D293" s="4"/>
      <c r="E293" s="5"/>
      <c r="G293" s="4"/>
      <c r="H293" s="4"/>
    </row>
    <row r="294" ht="14.25" customHeight="1" spans="4:8">
      <c r="D294" s="4"/>
      <c r="E294" s="5"/>
      <c r="G294" s="4"/>
      <c r="H294" s="4"/>
    </row>
    <row r="295" ht="14.25" customHeight="1" spans="4:8">
      <c r="D295" s="4"/>
      <c r="E295" s="5"/>
      <c r="G295" s="4"/>
      <c r="H295" s="4"/>
    </row>
    <row r="296" ht="14.25" customHeight="1" spans="4:8">
      <c r="D296" s="4"/>
      <c r="E296" s="5"/>
      <c r="G296" s="4"/>
      <c r="H296" s="4"/>
    </row>
    <row r="297" ht="14.25" customHeight="1" spans="4:8">
      <c r="D297" s="4"/>
      <c r="E297" s="5"/>
      <c r="G297" s="4"/>
      <c r="H297" s="4"/>
    </row>
    <row r="298" ht="14.25" customHeight="1" spans="4:8">
      <c r="D298" s="4"/>
      <c r="E298" s="5"/>
      <c r="G298" s="4"/>
      <c r="H298" s="4"/>
    </row>
    <row r="299" ht="14.25" customHeight="1" spans="4:8">
      <c r="D299" s="4"/>
      <c r="E299" s="5"/>
      <c r="G299" s="4"/>
      <c r="H299" s="4"/>
    </row>
    <row r="300" ht="14.25" customHeight="1" spans="4:8">
      <c r="D300" s="4"/>
      <c r="E300" s="5"/>
      <c r="G300" s="4"/>
      <c r="H300" s="4"/>
    </row>
    <row r="301" ht="14.25" customHeight="1" spans="4:8">
      <c r="D301" s="4"/>
      <c r="E301" s="5"/>
      <c r="G301" s="4"/>
      <c r="H301" s="4"/>
    </row>
    <row r="302" ht="14.25" customHeight="1" spans="4:8">
      <c r="D302" s="4"/>
      <c r="E302" s="5"/>
      <c r="G302" s="4"/>
      <c r="H302" s="4"/>
    </row>
    <row r="303" ht="14.25" customHeight="1" spans="4:8">
      <c r="D303" s="4"/>
      <c r="E303" s="5"/>
      <c r="G303" s="4"/>
      <c r="H303" s="4"/>
    </row>
    <row r="304" ht="14.25" customHeight="1" spans="4:8">
      <c r="D304" s="4"/>
      <c r="E304" s="5"/>
      <c r="G304" s="4"/>
      <c r="H304" s="4"/>
    </row>
    <row r="305" ht="14.25" customHeight="1" spans="4:8">
      <c r="D305" s="4"/>
      <c r="E305" s="5"/>
      <c r="G305" s="4"/>
      <c r="H305" s="4"/>
    </row>
    <row r="306" ht="14.25" customHeight="1" spans="4:8">
      <c r="D306" s="4"/>
      <c r="E306" s="5"/>
      <c r="G306" s="4"/>
      <c r="H306" s="4"/>
    </row>
    <row r="307" ht="14.25" customHeight="1" spans="4:8">
      <c r="D307" s="4"/>
      <c r="E307" s="5"/>
      <c r="G307" s="4"/>
      <c r="H307" s="4"/>
    </row>
    <row r="308" ht="14.25" customHeight="1" spans="4:8">
      <c r="D308" s="4"/>
      <c r="E308" s="5"/>
      <c r="G308" s="4"/>
      <c r="H308" s="4"/>
    </row>
    <row r="309" ht="14.25" customHeight="1" spans="4:8">
      <c r="D309" s="4"/>
      <c r="E309" s="5"/>
      <c r="G309" s="4"/>
      <c r="H309" s="4"/>
    </row>
    <row r="310" ht="14.25" customHeight="1" spans="4:8">
      <c r="D310" s="4"/>
      <c r="E310" s="5"/>
      <c r="G310" s="4"/>
      <c r="H310" s="4"/>
    </row>
    <row r="311" ht="14.25" customHeight="1" spans="4:8">
      <c r="D311" s="4"/>
      <c r="E311" s="5"/>
      <c r="G311" s="4"/>
      <c r="H311" s="4"/>
    </row>
    <row r="312" ht="14.25" customHeight="1" spans="4:8">
      <c r="D312" s="4"/>
      <c r="E312" s="5"/>
      <c r="G312" s="4"/>
      <c r="H312" s="4"/>
    </row>
    <row r="313" ht="14.25" customHeight="1" spans="4:8">
      <c r="D313" s="4"/>
      <c r="E313" s="5"/>
      <c r="G313" s="4"/>
      <c r="H313" s="4"/>
    </row>
    <row r="314" ht="14.25" customHeight="1" spans="4:8">
      <c r="D314" s="4"/>
      <c r="E314" s="5"/>
      <c r="G314" s="4"/>
      <c r="H314" s="4"/>
    </row>
    <row r="315" ht="14.25" customHeight="1" spans="4:8">
      <c r="D315" s="4"/>
      <c r="E315" s="5"/>
      <c r="G315" s="4"/>
      <c r="H315" s="4"/>
    </row>
    <row r="316" ht="14.25" customHeight="1" spans="4:8">
      <c r="D316" s="4"/>
      <c r="E316" s="5"/>
      <c r="G316" s="4"/>
      <c r="H316" s="4"/>
    </row>
    <row r="317" ht="14.25" customHeight="1" spans="4:8">
      <c r="D317" s="4"/>
      <c r="E317" s="5"/>
      <c r="G317" s="4"/>
      <c r="H317" s="4"/>
    </row>
    <row r="318" ht="14.25" customHeight="1" spans="4:8">
      <c r="D318" s="4"/>
      <c r="E318" s="5"/>
      <c r="G318" s="4"/>
      <c r="H318" s="4"/>
    </row>
    <row r="319" ht="14.25" customHeight="1" spans="4:8">
      <c r="D319" s="4"/>
      <c r="E319" s="5"/>
      <c r="G319" s="4"/>
      <c r="H319" s="4"/>
    </row>
    <row r="320" ht="14.25" customHeight="1" spans="4:8">
      <c r="D320" s="4"/>
      <c r="E320" s="5"/>
      <c r="G320" s="4"/>
      <c r="H320" s="4"/>
    </row>
    <row r="321" ht="14.25" customHeight="1" spans="4:8">
      <c r="D321" s="4"/>
      <c r="E321" s="5"/>
      <c r="G321" s="4"/>
      <c r="H321" s="4"/>
    </row>
    <row r="322" ht="14.25" customHeight="1" spans="4:8">
      <c r="D322" s="4"/>
      <c r="E322" s="5"/>
      <c r="G322" s="4"/>
      <c r="H322" s="4"/>
    </row>
    <row r="323" ht="14.25" customHeight="1" spans="4:8">
      <c r="D323" s="4"/>
      <c r="E323" s="5"/>
      <c r="G323" s="4"/>
      <c r="H323" s="4"/>
    </row>
    <row r="324" ht="14.25" customHeight="1" spans="4:8">
      <c r="D324" s="4"/>
      <c r="E324" s="5"/>
      <c r="G324" s="4"/>
      <c r="H324" s="4"/>
    </row>
    <row r="325" ht="14.25" customHeight="1" spans="4:8">
      <c r="D325" s="4"/>
      <c r="E325" s="5"/>
      <c r="G325" s="4"/>
      <c r="H325" s="4"/>
    </row>
    <row r="326" ht="14.25" customHeight="1" spans="4:8">
      <c r="D326" s="4"/>
      <c r="E326" s="5"/>
      <c r="G326" s="4"/>
      <c r="H326" s="4"/>
    </row>
    <row r="327" ht="14.25" customHeight="1" spans="4:8">
      <c r="D327" s="4"/>
      <c r="E327" s="5"/>
      <c r="G327" s="4"/>
      <c r="H327" s="4"/>
    </row>
    <row r="328" ht="14.25" customHeight="1" spans="4:8">
      <c r="D328" s="4"/>
      <c r="E328" s="5"/>
      <c r="G328" s="4"/>
      <c r="H328" s="4"/>
    </row>
    <row r="329" ht="14.25" customHeight="1" spans="4:8">
      <c r="D329" s="4"/>
      <c r="E329" s="5"/>
      <c r="G329" s="4"/>
      <c r="H329" s="4"/>
    </row>
    <row r="330" ht="14.25" customHeight="1" spans="4:8">
      <c r="D330" s="4"/>
      <c r="E330" s="5"/>
      <c r="G330" s="4"/>
      <c r="H330" s="4"/>
    </row>
    <row r="331" ht="14.25" customHeight="1" spans="4:8">
      <c r="D331" s="4"/>
      <c r="E331" s="5"/>
      <c r="G331" s="4"/>
      <c r="H331" s="4"/>
    </row>
    <row r="332" ht="14.25" customHeight="1" spans="4:8">
      <c r="D332" s="4"/>
      <c r="E332" s="5"/>
      <c r="G332" s="4"/>
      <c r="H332" s="4"/>
    </row>
    <row r="333" ht="14.25" customHeight="1" spans="4:8">
      <c r="D333" s="4"/>
      <c r="E333" s="5"/>
      <c r="G333" s="4"/>
      <c r="H333" s="4"/>
    </row>
    <row r="334" ht="14.25" customHeight="1" spans="4:8">
      <c r="D334" s="4"/>
      <c r="E334" s="5"/>
      <c r="G334" s="4"/>
      <c r="H334" s="4"/>
    </row>
    <row r="335" ht="14.25" customHeight="1" spans="4:8">
      <c r="D335" s="4"/>
      <c r="E335" s="5"/>
      <c r="G335" s="4"/>
      <c r="H335" s="4"/>
    </row>
    <row r="336" ht="14.25" customHeight="1" spans="4:8">
      <c r="D336" s="4"/>
      <c r="E336" s="5"/>
      <c r="G336" s="4"/>
      <c r="H336" s="4"/>
    </row>
    <row r="337" ht="14.25" customHeight="1" spans="4:8">
      <c r="D337" s="4"/>
      <c r="E337" s="5"/>
      <c r="G337" s="4"/>
      <c r="H337" s="4"/>
    </row>
    <row r="338" ht="14.25" customHeight="1" spans="4:8">
      <c r="D338" s="4"/>
      <c r="E338" s="5"/>
      <c r="G338" s="4"/>
      <c r="H338" s="4"/>
    </row>
    <row r="339" ht="14.25" customHeight="1" spans="4:8">
      <c r="D339" s="4"/>
      <c r="E339" s="5"/>
      <c r="G339" s="4"/>
      <c r="H339" s="4"/>
    </row>
    <row r="340" ht="14.25" customHeight="1" spans="4:8">
      <c r="D340" s="4"/>
      <c r="E340" s="5"/>
      <c r="G340" s="4"/>
      <c r="H340" s="4"/>
    </row>
    <row r="341" ht="14.25" customHeight="1" spans="4:8">
      <c r="D341" s="4"/>
      <c r="E341" s="5"/>
      <c r="G341" s="4"/>
      <c r="H341" s="4"/>
    </row>
    <row r="342" ht="14.25" customHeight="1" spans="4:8">
      <c r="D342" s="4"/>
      <c r="E342" s="5"/>
      <c r="G342" s="4"/>
      <c r="H342" s="4"/>
    </row>
    <row r="343" ht="14.25" customHeight="1" spans="4:8">
      <c r="D343" s="4"/>
      <c r="E343" s="5"/>
      <c r="G343" s="4"/>
      <c r="H343" s="4"/>
    </row>
    <row r="344" ht="14.25" customHeight="1" spans="4:8">
      <c r="D344" s="4"/>
      <c r="E344" s="5"/>
      <c r="G344" s="4"/>
      <c r="H344" s="4"/>
    </row>
    <row r="345" ht="14.25" customHeight="1" spans="4:8">
      <c r="D345" s="4"/>
      <c r="E345" s="5"/>
      <c r="G345" s="4"/>
      <c r="H345" s="4"/>
    </row>
    <row r="346" ht="14.25" customHeight="1" spans="4:8">
      <c r="D346" s="4"/>
      <c r="E346" s="5"/>
      <c r="G346" s="4"/>
      <c r="H346" s="4"/>
    </row>
    <row r="347" ht="14.25" customHeight="1" spans="4:8">
      <c r="D347" s="4"/>
      <c r="E347" s="5"/>
      <c r="G347" s="4"/>
      <c r="H347" s="4"/>
    </row>
    <row r="348" ht="14.25" customHeight="1" spans="4:8">
      <c r="D348" s="4"/>
      <c r="E348" s="5"/>
      <c r="G348" s="4"/>
      <c r="H348" s="4"/>
    </row>
    <row r="349" ht="14.25" customHeight="1" spans="4:8">
      <c r="D349" s="4"/>
      <c r="E349" s="5"/>
      <c r="G349" s="4"/>
      <c r="H349" s="4"/>
    </row>
    <row r="350" ht="14.25" customHeight="1" spans="4:8">
      <c r="D350" s="4"/>
      <c r="E350" s="5"/>
      <c r="G350" s="4"/>
      <c r="H350" s="4"/>
    </row>
    <row r="351" ht="14.25" customHeight="1" spans="4:8">
      <c r="D351" s="4"/>
      <c r="E351" s="5"/>
      <c r="G351" s="4"/>
      <c r="H351" s="4"/>
    </row>
    <row r="352" ht="14.25" customHeight="1" spans="4:8">
      <c r="D352" s="4"/>
      <c r="E352" s="5"/>
      <c r="G352" s="4"/>
      <c r="H352" s="4"/>
    </row>
    <row r="353" ht="14.25" customHeight="1" spans="4:8">
      <c r="D353" s="4"/>
      <c r="E353" s="5"/>
      <c r="G353" s="4"/>
      <c r="H353" s="4"/>
    </row>
    <row r="354" ht="14.25" customHeight="1" spans="4:8">
      <c r="D354" s="4"/>
      <c r="E354" s="5"/>
      <c r="G354" s="4"/>
      <c r="H354" s="4"/>
    </row>
    <row r="355" ht="14.25" customHeight="1" spans="4:8">
      <c r="D355" s="4"/>
      <c r="E355" s="5"/>
      <c r="G355" s="4"/>
      <c r="H355" s="4"/>
    </row>
    <row r="356" ht="14.25" customHeight="1" spans="4:8">
      <c r="D356" s="4"/>
      <c r="E356" s="5"/>
      <c r="G356" s="4"/>
      <c r="H356" s="4"/>
    </row>
    <row r="357" ht="14.25" customHeight="1" spans="4:8">
      <c r="D357" s="4"/>
      <c r="E357" s="5"/>
      <c r="G357" s="4"/>
      <c r="H357" s="4"/>
    </row>
    <row r="358" ht="14.25" customHeight="1" spans="4:8">
      <c r="D358" s="4"/>
      <c r="E358" s="5"/>
      <c r="G358" s="4"/>
      <c r="H358" s="4"/>
    </row>
    <row r="359" ht="14.25" customHeight="1" spans="4:8">
      <c r="D359" s="4"/>
      <c r="E359" s="5"/>
      <c r="G359" s="4"/>
      <c r="H359" s="4"/>
    </row>
    <row r="360" ht="14.25" customHeight="1" spans="4:8">
      <c r="D360" s="4"/>
      <c r="E360" s="5"/>
      <c r="G360" s="4"/>
      <c r="H360" s="4"/>
    </row>
    <row r="361" ht="14.25" customHeight="1" spans="4:8">
      <c r="D361" s="4"/>
      <c r="E361" s="5"/>
      <c r="G361" s="4"/>
      <c r="H361" s="4"/>
    </row>
    <row r="362" ht="14.25" customHeight="1" spans="4:8">
      <c r="D362" s="4"/>
      <c r="E362" s="5"/>
      <c r="G362" s="4"/>
      <c r="H362" s="4"/>
    </row>
    <row r="363" ht="14.25" customHeight="1" spans="4:8">
      <c r="D363" s="4"/>
      <c r="E363" s="5"/>
      <c r="G363" s="4"/>
      <c r="H363" s="4"/>
    </row>
    <row r="364" ht="14.25" customHeight="1" spans="4:8">
      <c r="D364" s="4"/>
      <c r="E364" s="5"/>
      <c r="G364" s="4"/>
      <c r="H364" s="4"/>
    </row>
    <row r="365" ht="14.25" customHeight="1" spans="4:8">
      <c r="D365" s="4"/>
      <c r="E365" s="5"/>
      <c r="G365" s="4"/>
      <c r="H365" s="4"/>
    </row>
    <row r="366" ht="14.25" customHeight="1" spans="4:8">
      <c r="D366" s="4"/>
      <c r="E366" s="5"/>
      <c r="G366" s="4"/>
      <c r="H366" s="4"/>
    </row>
    <row r="367" ht="14.25" customHeight="1" spans="4:8">
      <c r="D367" s="4"/>
      <c r="E367" s="5"/>
      <c r="G367" s="4"/>
      <c r="H367" s="4"/>
    </row>
    <row r="368" ht="14.25" customHeight="1" spans="4:8">
      <c r="D368" s="4"/>
      <c r="E368" s="5"/>
      <c r="G368" s="4"/>
      <c r="H368" s="4"/>
    </row>
    <row r="369" ht="14.25" customHeight="1" spans="4:8">
      <c r="D369" s="4"/>
      <c r="E369" s="5"/>
      <c r="G369" s="4"/>
      <c r="H369" s="4"/>
    </row>
    <row r="370" ht="14.25" customHeight="1" spans="4:8">
      <c r="D370" s="4"/>
      <c r="E370" s="5"/>
      <c r="G370" s="4"/>
      <c r="H370" s="4"/>
    </row>
    <row r="371" ht="14.25" customHeight="1" spans="4:8">
      <c r="D371" s="4"/>
      <c r="E371" s="5"/>
      <c r="G371" s="4"/>
      <c r="H371" s="4"/>
    </row>
    <row r="372" ht="14.25" customHeight="1" spans="4:8">
      <c r="D372" s="4"/>
      <c r="E372" s="5"/>
      <c r="G372" s="4"/>
      <c r="H372" s="4"/>
    </row>
    <row r="373" ht="14.25" customHeight="1" spans="4:8">
      <c r="D373" s="4"/>
      <c r="E373" s="5"/>
      <c r="G373" s="4"/>
      <c r="H373" s="4"/>
    </row>
    <row r="374" ht="14.25" customHeight="1" spans="4:8">
      <c r="D374" s="4"/>
      <c r="E374" s="5"/>
      <c r="G374" s="4"/>
      <c r="H374" s="4"/>
    </row>
    <row r="375" ht="14.25" customHeight="1" spans="4:8">
      <c r="D375" s="4"/>
      <c r="E375" s="5"/>
      <c r="G375" s="4"/>
      <c r="H375" s="4"/>
    </row>
    <row r="376" ht="14.25" customHeight="1" spans="4:8">
      <c r="D376" s="4"/>
      <c r="E376" s="5"/>
      <c r="G376" s="4"/>
      <c r="H376" s="4"/>
    </row>
    <row r="377" ht="14.25" customHeight="1" spans="4:8">
      <c r="D377" s="4"/>
      <c r="E377" s="5"/>
      <c r="G377" s="4"/>
      <c r="H377" s="4"/>
    </row>
    <row r="378" ht="14.25" customHeight="1" spans="4:8">
      <c r="D378" s="4"/>
      <c r="E378" s="5"/>
      <c r="G378" s="4"/>
      <c r="H378" s="4"/>
    </row>
    <row r="379" ht="14.25" customHeight="1" spans="4:8">
      <c r="D379" s="4"/>
      <c r="E379" s="5"/>
      <c r="G379" s="4"/>
      <c r="H379" s="4"/>
    </row>
    <row r="380" ht="14.25" customHeight="1" spans="4:8">
      <c r="D380" s="4"/>
      <c r="E380" s="5"/>
      <c r="G380" s="4"/>
      <c r="H380" s="4"/>
    </row>
    <row r="381" ht="14.25" customHeight="1" spans="4:8">
      <c r="D381" s="4"/>
      <c r="E381" s="5"/>
      <c r="G381" s="4"/>
      <c r="H381" s="4"/>
    </row>
    <row r="382" ht="14.25" customHeight="1" spans="4:8">
      <c r="D382" s="4"/>
      <c r="E382" s="5"/>
      <c r="G382" s="4"/>
      <c r="H382" s="4"/>
    </row>
    <row r="383" ht="14.25" customHeight="1" spans="4:8">
      <c r="D383" s="4"/>
      <c r="E383" s="5"/>
      <c r="G383" s="4"/>
      <c r="H383" s="4"/>
    </row>
    <row r="384" ht="14.25" customHeight="1" spans="4:8">
      <c r="D384" s="4"/>
      <c r="E384" s="5"/>
      <c r="G384" s="4"/>
      <c r="H384" s="4"/>
    </row>
    <row r="385" ht="14.25" customHeight="1" spans="4:8">
      <c r="D385" s="4"/>
      <c r="E385" s="5"/>
      <c r="G385" s="4"/>
      <c r="H385" s="4"/>
    </row>
    <row r="386" ht="14.25" customHeight="1" spans="4:8">
      <c r="D386" s="4"/>
      <c r="E386" s="5"/>
      <c r="G386" s="4"/>
      <c r="H386" s="4"/>
    </row>
    <row r="387" ht="14.25" customHeight="1" spans="4:8">
      <c r="D387" s="4"/>
      <c r="E387" s="5"/>
      <c r="G387" s="4"/>
      <c r="H387" s="4"/>
    </row>
    <row r="388" ht="14.25" customHeight="1" spans="4:8">
      <c r="D388" s="4"/>
      <c r="E388" s="5"/>
      <c r="G388" s="4"/>
      <c r="H388" s="4"/>
    </row>
    <row r="389" ht="14.25" customHeight="1" spans="4:8">
      <c r="D389" s="4"/>
      <c r="E389" s="5"/>
      <c r="G389" s="4"/>
      <c r="H389" s="4"/>
    </row>
    <row r="390" ht="14.25" customHeight="1" spans="4:8">
      <c r="D390" s="4"/>
      <c r="E390" s="5"/>
      <c r="G390" s="4"/>
      <c r="H390" s="4"/>
    </row>
    <row r="391" ht="14.25" customHeight="1" spans="4:8">
      <c r="D391" s="4"/>
      <c r="E391" s="5"/>
      <c r="G391" s="4"/>
      <c r="H391" s="4"/>
    </row>
    <row r="392" ht="14.25" customHeight="1" spans="4:8">
      <c r="D392" s="4"/>
      <c r="E392" s="5"/>
      <c r="G392" s="4"/>
      <c r="H392" s="4"/>
    </row>
    <row r="393" ht="14.25" customHeight="1" spans="4:8">
      <c r="D393" s="4"/>
      <c r="E393" s="5"/>
      <c r="G393" s="4"/>
      <c r="H393" s="4"/>
    </row>
    <row r="394" ht="14.25" customHeight="1" spans="4:8">
      <c r="D394" s="4"/>
      <c r="E394" s="5"/>
      <c r="G394" s="4"/>
      <c r="H394" s="4"/>
    </row>
    <row r="395" ht="14.25" customHeight="1" spans="4:8">
      <c r="D395" s="4"/>
      <c r="E395" s="5"/>
      <c r="G395" s="4"/>
      <c r="H395" s="4"/>
    </row>
    <row r="396" ht="14.25" customHeight="1" spans="4:8">
      <c r="D396" s="4"/>
      <c r="E396" s="5"/>
      <c r="G396" s="4"/>
      <c r="H396" s="4"/>
    </row>
    <row r="397" ht="14.25" customHeight="1" spans="4:8">
      <c r="D397" s="4"/>
      <c r="E397" s="5"/>
      <c r="G397" s="4"/>
      <c r="H397" s="4"/>
    </row>
    <row r="398" ht="14.25" customHeight="1" spans="4:8">
      <c r="D398" s="4"/>
      <c r="E398" s="5"/>
      <c r="G398" s="4"/>
      <c r="H398" s="4"/>
    </row>
    <row r="399" ht="14.25" customHeight="1" spans="4:8">
      <c r="D399" s="4"/>
      <c r="E399" s="5"/>
      <c r="G399" s="4"/>
      <c r="H399" s="4"/>
    </row>
    <row r="400" ht="14.25" customHeight="1" spans="4:8">
      <c r="D400" s="4"/>
      <c r="E400" s="5"/>
      <c r="G400" s="4"/>
      <c r="H400" s="4"/>
    </row>
    <row r="401" ht="14.25" customHeight="1" spans="4:8">
      <c r="D401" s="4"/>
      <c r="E401" s="5"/>
      <c r="G401" s="4"/>
      <c r="H401" s="4"/>
    </row>
    <row r="402" ht="14.25" customHeight="1" spans="4:8">
      <c r="D402" s="4"/>
      <c r="E402" s="5"/>
      <c r="G402" s="4"/>
      <c r="H402" s="4"/>
    </row>
    <row r="403" ht="14.25" customHeight="1" spans="4:8">
      <c r="D403" s="4"/>
      <c r="E403" s="5"/>
      <c r="G403" s="4"/>
      <c r="H403" s="4"/>
    </row>
    <row r="404" ht="14.25" customHeight="1" spans="4:8">
      <c r="D404" s="4"/>
      <c r="E404" s="5"/>
      <c r="G404" s="4"/>
      <c r="H404" s="4"/>
    </row>
    <row r="405" ht="14.25" customHeight="1" spans="4:8">
      <c r="D405" s="4"/>
      <c r="E405" s="5"/>
      <c r="G405" s="4"/>
      <c r="H405" s="4"/>
    </row>
    <row r="406" ht="14.25" customHeight="1" spans="4:8">
      <c r="D406" s="4"/>
      <c r="E406" s="5"/>
      <c r="G406" s="4"/>
      <c r="H406" s="4"/>
    </row>
    <row r="407" ht="14.25" customHeight="1" spans="4:8">
      <c r="D407" s="4"/>
      <c r="E407" s="5"/>
      <c r="G407" s="4"/>
      <c r="H407" s="4"/>
    </row>
    <row r="408" ht="14.25" customHeight="1" spans="4:8">
      <c r="D408" s="4"/>
      <c r="E408" s="5"/>
      <c r="G408" s="4"/>
      <c r="H408" s="4"/>
    </row>
    <row r="409" ht="14.25" customHeight="1" spans="4:8">
      <c r="D409" s="4"/>
      <c r="E409" s="5"/>
      <c r="G409" s="4"/>
      <c r="H409" s="4"/>
    </row>
    <row r="410" ht="14.25" customHeight="1" spans="4:8">
      <c r="D410" s="4"/>
      <c r="E410" s="5"/>
      <c r="G410" s="4"/>
      <c r="H410" s="4"/>
    </row>
    <row r="411" ht="14.25" customHeight="1" spans="4:8">
      <c r="D411" s="4"/>
      <c r="E411" s="5"/>
      <c r="G411" s="4"/>
      <c r="H411" s="4"/>
    </row>
    <row r="412" ht="14.25" customHeight="1" spans="4:8">
      <c r="D412" s="4"/>
      <c r="E412" s="5"/>
      <c r="G412" s="4"/>
      <c r="H412" s="4"/>
    </row>
    <row r="413" ht="14.25" customHeight="1" spans="4:8">
      <c r="D413" s="4"/>
      <c r="E413" s="5"/>
      <c r="G413" s="4"/>
      <c r="H413" s="4"/>
    </row>
    <row r="414" ht="14.25" customHeight="1" spans="4:8">
      <c r="D414" s="4"/>
      <c r="E414" s="5"/>
      <c r="G414" s="4"/>
      <c r="H414" s="4"/>
    </row>
    <row r="415" ht="14.25" customHeight="1" spans="4:8">
      <c r="D415" s="4"/>
      <c r="E415" s="5"/>
      <c r="G415" s="4"/>
      <c r="H415" s="4"/>
    </row>
    <row r="416" ht="14.25" customHeight="1" spans="4:8">
      <c r="D416" s="4"/>
      <c r="E416" s="5"/>
      <c r="G416" s="4"/>
      <c r="H416" s="4"/>
    </row>
    <row r="417" ht="14.25" customHeight="1" spans="4:8">
      <c r="D417" s="4"/>
      <c r="E417" s="5"/>
      <c r="G417" s="4"/>
      <c r="H417" s="4"/>
    </row>
    <row r="418" ht="14.25" customHeight="1" spans="4:8">
      <c r="D418" s="4"/>
      <c r="E418" s="5"/>
      <c r="G418" s="4"/>
      <c r="H418" s="4"/>
    </row>
    <row r="419" ht="14.25" customHeight="1" spans="4:8">
      <c r="D419" s="4"/>
      <c r="E419" s="5"/>
      <c r="G419" s="4"/>
      <c r="H419" s="4"/>
    </row>
    <row r="420" ht="14.25" customHeight="1" spans="4:8">
      <c r="D420" s="4"/>
      <c r="E420" s="5"/>
      <c r="G420" s="4"/>
      <c r="H420" s="4"/>
    </row>
    <row r="421" ht="14.25" customHeight="1" spans="4:8">
      <c r="D421" s="4"/>
      <c r="E421" s="5"/>
      <c r="G421" s="4"/>
      <c r="H421" s="4"/>
    </row>
    <row r="422" ht="14.25" customHeight="1" spans="4:8">
      <c r="D422" s="4"/>
      <c r="E422" s="5"/>
      <c r="G422" s="4"/>
      <c r="H422" s="4"/>
    </row>
    <row r="423" ht="14.25" customHeight="1" spans="4:8">
      <c r="D423" s="4"/>
      <c r="E423" s="5"/>
      <c r="G423" s="4"/>
      <c r="H423" s="4"/>
    </row>
    <row r="424" ht="14.25" customHeight="1" spans="4:8">
      <c r="D424" s="4"/>
      <c r="E424" s="5"/>
      <c r="G424" s="4"/>
      <c r="H424" s="4"/>
    </row>
    <row r="425" ht="14.25" customHeight="1" spans="4:8">
      <c r="D425" s="4"/>
      <c r="E425" s="5"/>
      <c r="G425" s="4"/>
      <c r="H425" s="4"/>
    </row>
    <row r="426" ht="14.25" customHeight="1" spans="4:8">
      <c r="D426" s="4"/>
      <c r="E426" s="5"/>
      <c r="G426" s="4"/>
      <c r="H426" s="4"/>
    </row>
    <row r="427" ht="14.25" customHeight="1" spans="4:8">
      <c r="D427" s="4"/>
      <c r="E427" s="5"/>
      <c r="G427" s="4"/>
      <c r="H427" s="4"/>
    </row>
    <row r="428" ht="14.25" customHeight="1" spans="4:8">
      <c r="D428" s="4"/>
      <c r="E428" s="5"/>
      <c r="G428" s="4"/>
      <c r="H428" s="4"/>
    </row>
    <row r="429" ht="14.25" customHeight="1" spans="4:8">
      <c r="D429" s="4"/>
      <c r="E429" s="5"/>
      <c r="G429" s="4"/>
      <c r="H429" s="4"/>
    </row>
    <row r="430" ht="14.25" customHeight="1" spans="4:8">
      <c r="D430" s="4"/>
      <c r="E430" s="5"/>
      <c r="G430" s="4"/>
      <c r="H430" s="4"/>
    </row>
    <row r="431" ht="14.25" customHeight="1" spans="4:8">
      <c r="D431" s="4"/>
      <c r="E431" s="5"/>
      <c r="G431" s="4"/>
      <c r="H431" s="4"/>
    </row>
    <row r="432" ht="14.25" customHeight="1" spans="4:8">
      <c r="D432" s="4"/>
      <c r="E432" s="5"/>
      <c r="G432" s="4"/>
      <c r="H432" s="4"/>
    </row>
    <row r="433" ht="14.25" customHeight="1" spans="4:8">
      <c r="D433" s="4"/>
      <c r="E433" s="5"/>
      <c r="G433" s="4"/>
      <c r="H433" s="4"/>
    </row>
    <row r="434" ht="14.25" customHeight="1" spans="4:8">
      <c r="D434" s="4"/>
      <c r="E434" s="5"/>
      <c r="G434" s="4"/>
      <c r="H434" s="4"/>
    </row>
    <row r="435" ht="14.25" customHeight="1" spans="4:8">
      <c r="D435" s="4"/>
      <c r="E435" s="5"/>
      <c r="G435" s="4"/>
      <c r="H435" s="4"/>
    </row>
    <row r="436" ht="14.25" customHeight="1" spans="4:8">
      <c r="D436" s="4"/>
      <c r="E436" s="5"/>
      <c r="G436" s="4"/>
      <c r="H436" s="4"/>
    </row>
    <row r="437" ht="14.25" customHeight="1" spans="4:8">
      <c r="D437" s="4"/>
      <c r="E437" s="5"/>
      <c r="G437" s="4"/>
      <c r="H437" s="4"/>
    </row>
    <row r="438" ht="14.25" customHeight="1" spans="4:8">
      <c r="D438" s="4"/>
      <c r="E438" s="5"/>
      <c r="G438" s="4"/>
      <c r="H438" s="4"/>
    </row>
    <row r="439" ht="14.25" customHeight="1" spans="4:8">
      <c r="D439" s="4"/>
      <c r="E439" s="5"/>
      <c r="G439" s="4"/>
      <c r="H439" s="4"/>
    </row>
    <row r="440" ht="14.25" customHeight="1" spans="4:8">
      <c r="D440" s="4"/>
      <c r="E440" s="5"/>
      <c r="G440" s="4"/>
      <c r="H440" s="4"/>
    </row>
    <row r="441" ht="14.25" customHeight="1" spans="4:8">
      <c r="D441" s="4"/>
      <c r="E441" s="5"/>
      <c r="G441" s="4"/>
      <c r="H441" s="4"/>
    </row>
    <row r="442" ht="14.25" customHeight="1" spans="4:8">
      <c r="D442" s="4"/>
      <c r="E442" s="5"/>
      <c r="G442" s="4"/>
      <c r="H442" s="4"/>
    </row>
    <row r="443" ht="14.25" customHeight="1" spans="4:8">
      <c r="D443" s="4"/>
      <c r="E443" s="5"/>
      <c r="G443" s="4"/>
      <c r="H443" s="4"/>
    </row>
    <row r="444" ht="14.25" customHeight="1" spans="4:8">
      <c r="D444" s="4"/>
      <c r="E444" s="5"/>
      <c r="G444" s="4"/>
      <c r="H444" s="4"/>
    </row>
    <row r="445" ht="14.25" customHeight="1" spans="4:8">
      <c r="D445" s="4"/>
      <c r="E445" s="5"/>
      <c r="G445" s="4"/>
      <c r="H445" s="4"/>
    </row>
    <row r="446" ht="14.25" customHeight="1" spans="4:8">
      <c r="D446" s="4"/>
      <c r="E446" s="5"/>
      <c r="G446" s="4"/>
      <c r="H446" s="4"/>
    </row>
    <row r="447" ht="14.25" customHeight="1" spans="4:8">
      <c r="D447" s="4"/>
      <c r="E447" s="5"/>
      <c r="G447" s="4"/>
      <c r="H447" s="4"/>
    </row>
    <row r="448" ht="14.25" customHeight="1" spans="4:8">
      <c r="D448" s="4"/>
      <c r="E448" s="5"/>
      <c r="G448" s="4"/>
      <c r="H448" s="4"/>
    </row>
    <row r="449" ht="14.25" customHeight="1" spans="4:8">
      <c r="D449" s="4"/>
      <c r="E449" s="5"/>
      <c r="G449" s="4"/>
      <c r="H449" s="4"/>
    </row>
    <row r="450" ht="14.25" customHeight="1" spans="4:8">
      <c r="D450" s="4"/>
      <c r="E450" s="5"/>
      <c r="G450" s="4"/>
      <c r="H450" s="4"/>
    </row>
    <row r="451" ht="14.25" customHeight="1" spans="4:8">
      <c r="D451" s="4"/>
      <c r="E451" s="5"/>
      <c r="G451" s="4"/>
      <c r="H451" s="4"/>
    </row>
    <row r="452" ht="14.25" customHeight="1" spans="4:8">
      <c r="D452" s="4"/>
      <c r="E452" s="5"/>
      <c r="G452" s="4"/>
      <c r="H452" s="4"/>
    </row>
    <row r="453" ht="14.25" customHeight="1" spans="4:8">
      <c r="D453" s="4"/>
      <c r="E453" s="5"/>
      <c r="G453" s="4"/>
      <c r="H453" s="4"/>
    </row>
    <row r="454" ht="14.25" customHeight="1" spans="4:8">
      <c r="D454" s="4"/>
      <c r="E454" s="5"/>
      <c r="G454" s="4"/>
      <c r="H454" s="4"/>
    </row>
    <row r="455" ht="14.25" customHeight="1" spans="4:8">
      <c r="D455" s="4"/>
      <c r="E455" s="5"/>
      <c r="G455" s="4"/>
      <c r="H455" s="4"/>
    </row>
    <row r="456" ht="14.25" customHeight="1" spans="4:8">
      <c r="D456" s="4"/>
      <c r="E456" s="5"/>
      <c r="G456" s="4"/>
      <c r="H456" s="4"/>
    </row>
    <row r="457" ht="14.25" customHeight="1" spans="4:8">
      <c r="D457" s="4"/>
      <c r="E457" s="5"/>
      <c r="G457" s="4"/>
      <c r="H457" s="4"/>
    </row>
    <row r="458" ht="14.25" customHeight="1" spans="4:8">
      <c r="D458" s="4"/>
      <c r="E458" s="5"/>
      <c r="G458" s="4"/>
      <c r="H458" s="4"/>
    </row>
    <row r="459" ht="14.25" customHeight="1" spans="4:8">
      <c r="D459" s="4"/>
      <c r="E459" s="5"/>
      <c r="G459" s="4"/>
      <c r="H459" s="4"/>
    </row>
    <row r="460" ht="14.25" customHeight="1" spans="4:8">
      <c r="D460" s="4"/>
      <c r="E460" s="5"/>
      <c r="G460" s="4"/>
      <c r="H460" s="4"/>
    </row>
    <row r="461" ht="14.25" customHeight="1" spans="4:8">
      <c r="D461" s="4"/>
      <c r="E461" s="5"/>
      <c r="G461" s="4"/>
      <c r="H461" s="4"/>
    </row>
    <row r="462" ht="14.25" customHeight="1" spans="4:8">
      <c r="D462" s="4"/>
      <c r="E462" s="5"/>
      <c r="G462" s="4"/>
      <c r="H462" s="4"/>
    </row>
    <row r="463" ht="14.25" customHeight="1" spans="4:8">
      <c r="D463" s="4"/>
      <c r="E463" s="5"/>
      <c r="G463" s="4"/>
      <c r="H463" s="4"/>
    </row>
    <row r="464" ht="14.25" customHeight="1" spans="4:8">
      <c r="D464" s="4"/>
      <c r="E464" s="5"/>
      <c r="G464" s="4"/>
      <c r="H464" s="4"/>
    </row>
    <row r="465" ht="14.25" customHeight="1" spans="4:8">
      <c r="D465" s="4"/>
      <c r="E465" s="5"/>
      <c r="G465" s="4"/>
      <c r="H465" s="4"/>
    </row>
    <row r="466" ht="14.25" customHeight="1" spans="4:8">
      <c r="D466" s="4"/>
      <c r="E466" s="5"/>
      <c r="G466" s="4"/>
      <c r="H466" s="4"/>
    </row>
    <row r="467" ht="14.25" customHeight="1" spans="4:8">
      <c r="D467" s="4"/>
      <c r="E467" s="5"/>
      <c r="G467" s="4"/>
      <c r="H467" s="4"/>
    </row>
    <row r="468" ht="14.25" customHeight="1" spans="4:8">
      <c r="D468" s="4"/>
      <c r="E468" s="5"/>
      <c r="G468" s="4"/>
      <c r="H468" s="4"/>
    </row>
    <row r="469" ht="14.25" customHeight="1" spans="4:8">
      <c r="D469" s="4"/>
      <c r="E469" s="5"/>
      <c r="G469" s="4"/>
      <c r="H469" s="4"/>
    </row>
    <row r="470" ht="14.25" customHeight="1" spans="4:8">
      <c r="D470" s="4"/>
      <c r="E470" s="5"/>
      <c r="G470" s="4"/>
      <c r="H470" s="4"/>
    </row>
    <row r="471" ht="14.25" customHeight="1" spans="4:8">
      <c r="D471" s="4"/>
      <c r="E471" s="5"/>
      <c r="G471" s="4"/>
      <c r="H471" s="4"/>
    </row>
    <row r="472" ht="14.25" customHeight="1" spans="4:8">
      <c r="D472" s="4"/>
      <c r="E472" s="5"/>
      <c r="G472" s="4"/>
      <c r="H472" s="4"/>
    </row>
    <row r="473" ht="14.25" customHeight="1" spans="4:8">
      <c r="D473" s="4"/>
      <c r="E473" s="5"/>
      <c r="G473" s="4"/>
      <c r="H473" s="4"/>
    </row>
    <row r="474" ht="14.25" customHeight="1" spans="4:8">
      <c r="D474" s="4"/>
      <c r="E474" s="5"/>
      <c r="G474" s="4"/>
      <c r="H474" s="4"/>
    </row>
    <row r="475" ht="14.25" customHeight="1" spans="4:8">
      <c r="D475" s="4"/>
      <c r="E475" s="5"/>
      <c r="G475" s="4"/>
      <c r="H475" s="4"/>
    </row>
    <row r="476" ht="14.25" customHeight="1" spans="4:8">
      <c r="D476" s="4"/>
      <c r="E476" s="5"/>
      <c r="G476" s="4"/>
      <c r="H476" s="4"/>
    </row>
    <row r="477" ht="14.25" customHeight="1" spans="4:8">
      <c r="D477" s="4"/>
      <c r="E477" s="5"/>
      <c r="G477" s="4"/>
      <c r="H477" s="4"/>
    </row>
    <row r="478" ht="14.25" customHeight="1" spans="4:8">
      <c r="D478" s="4"/>
      <c r="E478" s="5"/>
      <c r="G478" s="4"/>
      <c r="H478" s="4"/>
    </row>
    <row r="479" ht="14.25" customHeight="1" spans="4:8">
      <c r="D479" s="4"/>
      <c r="E479" s="5"/>
      <c r="G479" s="4"/>
      <c r="H479" s="4"/>
    </row>
    <row r="480" ht="14.25" customHeight="1" spans="4:8">
      <c r="D480" s="4"/>
      <c r="E480" s="5"/>
      <c r="G480" s="4"/>
      <c r="H480" s="4"/>
    </row>
    <row r="481" ht="14.25" customHeight="1" spans="4:8">
      <c r="D481" s="4"/>
      <c r="E481" s="5"/>
      <c r="G481" s="4"/>
      <c r="H481" s="4"/>
    </row>
    <row r="482" ht="14.25" customHeight="1" spans="4:8">
      <c r="D482" s="4"/>
      <c r="E482" s="5"/>
      <c r="G482" s="4"/>
      <c r="H482" s="4"/>
    </row>
    <row r="483" ht="14.25" customHeight="1" spans="4:8">
      <c r="D483" s="4"/>
      <c r="E483" s="5"/>
      <c r="G483" s="4"/>
      <c r="H483" s="4"/>
    </row>
    <row r="484" ht="14.25" customHeight="1" spans="4:8">
      <c r="D484" s="4"/>
      <c r="E484" s="5"/>
      <c r="G484" s="4"/>
      <c r="H484" s="4"/>
    </row>
    <row r="485" ht="14.25" customHeight="1" spans="4:8">
      <c r="D485" s="4"/>
      <c r="E485" s="5"/>
      <c r="G485" s="4"/>
      <c r="H485" s="4"/>
    </row>
    <row r="486" ht="14.25" customHeight="1" spans="4:8">
      <c r="D486" s="4"/>
      <c r="E486" s="5"/>
      <c r="G486" s="4"/>
      <c r="H486" s="4"/>
    </row>
    <row r="487" ht="14.25" customHeight="1" spans="4:8">
      <c r="D487" s="4"/>
      <c r="E487" s="5"/>
      <c r="G487" s="4"/>
      <c r="H487" s="4"/>
    </row>
    <row r="488" ht="14.25" customHeight="1" spans="4:8">
      <c r="D488" s="4"/>
      <c r="E488" s="5"/>
      <c r="G488" s="4"/>
      <c r="H488" s="4"/>
    </row>
    <row r="489" ht="14.25" customHeight="1" spans="4:8">
      <c r="D489" s="4"/>
      <c r="E489" s="5"/>
      <c r="G489" s="4"/>
      <c r="H489" s="4"/>
    </row>
    <row r="490" ht="14.25" customHeight="1" spans="4:8">
      <c r="D490" s="4"/>
      <c r="E490" s="5"/>
      <c r="G490" s="4"/>
      <c r="H490" s="4"/>
    </row>
    <row r="491" ht="14.25" customHeight="1" spans="4:8">
      <c r="D491" s="4"/>
      <c r="E491" s="5"/>
      <c r="G491" s="4"/>
      <c r="H491" s="4"/>
    </row>
    <row r="492" ht="14.25" customHeight="1" spans="4:8">
      <c r="D492" s="4"/>
      <c r="E492" s="5"/>
      <c r="G492" s="4"/>
      <c r="H492" s="4"/>
    </row>
    <row r="493" ht="14.25" customHeight="1" spans="4:8">
      <c r="D493" s="4"/>
      <c r="E493" s="5"/>
      <c r="G493" s="4"/>
      <c r="H493" s="4"/>
    </row>
    <row r="494" ht="14.25" customHeight="1" spans="4:8">
      <c r="D494" s="4"/>
      <c r="E494" s="5"/>
      <c r="G494" s="4"/>
      <c r="H494" s="4"/>
    </row>
    <row r="495" ht="14.25" customHeight="1" spans="4:8">
      <c r="D495" s="4"/>
      <c r="E495" s="5"/>
      <c r="G495" s="4"/>
      <c r="H495" s="4"/>
    </row>
    <row r="496" ht="14.25" customHeight="1" spans="4:8">
      <c r="D496" s="4"/>
      <c r="E496" s="5"/>
      <c r="G496" s="4"/>
      <c r="H496" s="4"/>
    </row>
    <row r="497" ht="14.25" customHeight="1" spans="4:8">
      <c r="D497" s="4"/>
      <c r="E497" s="5"/>
      <c r="G497" s="4"/>
      <c r="H497" s="4"/>
    </row>
    <row r="498" ht="14.25" customHeight="1" spans="4:8">
      <c r="D498" s="4"/>
      <c r="E498" s="5"/>
      <c r="G498" s="4"/>
      <c r="H498" s="4"/>
    </row>
    <row r="499" ht="14.25" customHeight="1" spans="4:8">
      <c r="D499" s="4"/>
      <c r="E499" s="5"/>
      <c r="G499" s="4"/>
      <c r="H499" s="4"/>
    </row>
    <row r="500" ht="14.25" customHeight="1" spans="4:8">
      <c r="D500" s="4"/>
      <c r="E500" s="5"/>
      <c r="G500" s="4"/>
      <c r="H500" s="4"/>
    </row>
    <row r="501" ht="14.25" customHeight="1" spans="4:8">
      <c r="D501" s="4"/>
      <c r="E501" s="5"/>
      <c r="G501" s="4"/>
      <c r="H501" s="4"/>
    </row>
    <row r="502" ht="14.25" customHeight="1" spans="4:8">
      <c r="D502" s="4"/>
      <c r="E502" s="5"/>
      <c r="G502" s="4"/>
      <c r="H502" s="4"/>
    </row>
    <row r="503" ht="14.25" customHeight="1" spans="4:8">
      <c r="D503" s="4"/>
      <c r="E503" s="5"/>
      <c r="G503" s="4"/>
      <c r="H503" s="4"/>
    </row>
    <row r="504" ht="14.25" customHeight="1" spans="4:8">
      <c r="D504" s="4"/>
      <c r="E504" s="5"/>
      <c r="G504" s="4"/>
      <c r="H504" s="4"/>
    </row>
    <row r="505" ht="14.25" customHeight="1" spans="4:8">
      <c r="D505" s="4"/>
      <c r="E505" s="5"/>
      <c r="G505" s="4"/>
      <c r="H505" s="4"/>
    </row>
    <row r="506" ht="14.25" customHeight="1" spans="4:8">
      <c r="D506" s="4"/>
      <c r="E506" s="5"/>
      <c r="G506" s="4"/>
      <c r="H506" s="4"/>
    </row>
    <row r="507" ht="14.25" customHeight="1" spans="4:8">
      <c r="D507" s="4"/>
      <c r="E507" s="5"/>
      <c r="G507" s="4"/>
      <c r="H507" s="4"/>
    </row>
    <row r="508" ht="14.25" customHeight="1" spans="4:8">
      <c r="D508" s="4"/>
      <c r="E508" s="5"/>
      <c r="G508" s="4"/>
      <c r="H508" s="4"/>
    </row>
    <row r="509" ht="14.25" customHeight="1" spans="4:8">
      <c r="D509" s="4"/>
      <c r="E509" s="5"/>
      <c r="G509" s="4"/>
      <c r="H509" s="4"/>
    </row>
    <row r="510" ht="14.25" customHeight="1" spans="4:8">
      <c r="D510" s="4"/>
      <c r="E510" s="5"/>
      <c r="G510" s="4"/>
      <c r="H510" s="4"/>
    </row>
    <row r="511" ht="14.25" customHeight="1" spans="4:8">
      <c r="D511" s="4"/>
      <c r="E511" s="5"/>
      <c r="G511" s="4"/>
      <c r="H511" s="4"/>
    </row>
    <row r="512" ht="14.25" customHeight="1" spans="4:8">
      <c r="D512" s="4"/>
      <c r="E512" s="5"/>
      <c r="G512" s="4"/>
      <c r="H512" s="4"/>
    </row>
    <row r="513" ht="14.25" customHeight="1" spans="4:8">
      <c r="D513" s="4"/>
      <c r="E513" s="5"/>
      <c r="G513" s="4"/>
      <c r="H513" s="4"/>
    </row>
    <row r="514" ht="14.25" customHeight="1" spans="4:8">
      <c r="D514" s="4"/>
      <c r="E514" s="5"/>
      <c r="G514" s="4"/>
      <c r="H514" s="4"/>
    </row>
    <row r="515" ht="14.25" customHeight="1" spans="4:8">
      <c r="D515" s="4"/>
      <c r="E515" s="5"/>
      <c r="G515" s="4"/>
      <c r="H515" s="4"/>
    </row>
    <row r="516" ht="14.25" customHeight="1" spans="4:8">
      <c r="D516" s="4"/>
      <c r="E516" s="5"/>
      <c r="G516" s="4"/>
      <c r="H516" s="4"/>
    </row>
    <row r="517" ht="14.25" customHeight="1" spans="4:8">
      <c r="D517" s="4"/>
      <c r="E517" s="5"/>
      <c r="G517" s="4"/>
      <c r="H517" s="4"/>
    </row>
    <row r="518" ht="14.25" customHeight="1" spans="4:8">
      <c r="D518" s="4"/>
      <c r="E518" s="5"/>
      <c r="G518" s="4"/>
      <c r="H518" s="4"/>
    </row>
    <row r="519" ht="14.25" customHeight="1" spans="4:8">
      <c r="D519" s="4"/>
      <c r="E519" s="5"/>
      <c r="G519" s="4"/>
      <c r="H519" s="4"/>
    </row>
    <row r="520" ht="14.25" customHeight="1" spans="4:8">
      <c r="D520" s="4"/>
      <c r="E520" s="5"/>
      <c r="G520" s="4"/>
      <c r="H520" s="4"/>
    </row>
    <row r="521" ht="14.25" customHeight="1" spans="4:8">
      <c r="D521" s="4"/>
      <c r="E521" s="5"/>
      <c r="G521" s="4"/>
      <c r="H521" s="4"/>
    </row>
    <row r="522" ht="14.25" customHeight="1" spans="4:8">
      <c r="D522" s="4"/>
      <c r="E522" s="5"/>
      <c r="G522" s="4"/>
      <c r="H522" s="4"/>
    </row>
    <row r="523" ht="14.25" customHeight="1" spans="4:8">
      <c r="D523" s="4"/>
      <c r="E523" s="5"/>
      <c r="G523" s="4"/>
      <c r="H523" s="4"/>
    </row>
    <row r="524" ht="14.25" customHeight="1" spans="4:8">
      <c r="D524" s="4"/>
      <c r="E524" s="5"/>
      <c r="G524" s="4"/>
      <c r="H524" s="4"/>
    </row>
    <row r="525" ht="14.25" customHeight="1" spans="4:8">
      <c r="D525" s="4"/>
      <c r="E525" s="5"/>
      <c r="G525" s="4"/>
      <c r="H525" s="4"/>
    </row>
    <row r="526" ht="14.25" customHeight="1" spans="4:8">
      <c r="D526" s="4"/>
      <c r="E526" s="5"/>
      <c r="G526" s="4"/>
      <c r="H526" s="4"/>
    </row>
    <row r="527" ht="14.25" customHeight="1" spans="4:8">
      <c r="D527" s="4"/>
      <c r="E527" s="5"/>
      <c r="G527" s="4"/>
      <c r="H527" s="4"/>
    </row>
    <row r="528" ht="14.25" customHeight="1" spans="4:8">
      <c r="D528" s="4"/>
      <c r="E528" s="5"/>
      <c r="G528" s="4"/>
      <c r="H528" s="4"/>
    </row>
    <row r="529" ht="14.25" customHeight="1" spans="4:8">
      <c r="D529" s="4"/>
      <c r="E529" s="5"/>
      <c r="G529" s="4"/>
      <c r="H529" s="4"/>
    </row>
    <row r="530" ht="14.25" customHeight="1" spans="4:8">
      <c r="D530" s="4"/>
      <c r="E530" s="5"/>
      <c r="G530" s="4"/>
      <c r="H530" s="4"/>
    </row>
    <row r="531" ht="14.25" customHeight="1" spans="4:8">
      <c r="D531" s="4"/>
      <c r="E531" s="5"/>
      <c r="G531" s="4"/>
      <c r="H531" s="4"/>
    </row>
    <row r="532" ht="14.25" customHeight="1" spans="4:8">
      <c r="D532" s="4"/>
      <c r="E532" s="5"/>
      <c r="G532" s="4"/>
      <c r="H532" s="4"/>
    </row>
    <row r="533" ht="14.25" customHeight="1" spans="4:8">
      <c r="D533" s="4"/>
      <c r="E533" s="5"/>
      <c r="G533" s="4"/>
      <c r="H533" s="4"/>
    </row>
    <row r="534" ht="14.25" customHeight="1" spans="4:8">
      <c r="D534" s="4"/>
      <c r="E534" s="5"/>
      <c r="G534" s="4"/>
      <c r="H534" s="4"/>
    </row>
    <row r="535" ht="14.25" customHeight="1" spans="4:8">
      <c r="D535" s="4"/>
      <c r="E535" s="5"/>
      <c r="G535" s="4"/>
      <c r="H535" s="4"/>
    </row>
    <row r="536" ht="14.25" customHeight="1" spans="4:8">
      <c r="D536" s="4"/>
      <c r="E536" s="5"/>
      <c r="G536" s="4"/>
      <c r="H536" s="4"/>
    </row>
    <row r="537" ht="14.25" customHeight="1" spans="4:8">
      <c r="D537" s="4"/>
      <c r="E537" s="5"/>
      <c r="G537" s="4"/>
      <c r="H537" s="4"/>
    </row>
    <row r="538" ht="14.25" customHeight="1" spans="4:8">
      <c r="D538" s="4"/>
      <c r="E538" s="5"/>
      <c r="G538" s="4"/>
      <c r="H538" s="4"/>
    </row>
    <row r="539" ht="14.25" customHeight="1" spans="4:8">
      <c r="D539" s="4"/>
      <c r="E539" s="5"/>
      <c r="G539" s="4"/>
      <c r="H539" s="4"/>
    </row>
    <row r="540" ht="14.25" customHeight="1" spans="4:8">
      <c r="D540" s="4"/>
      <c r="E540" s="5"/>
      <c r="G540" s="4"/>
      <c r="H540" s="4"/>
    </row>
    <row r="541" ht="14.25" customHeight="1" spans="4:8">
      <c r="D541" s="4"/>
      <c r="E541" s="5"/>
      <c r="G541" s="4"/>
      <c r="H541" s="4"/>
    </row>
    <row r="542" ht="14.25" customHeight="1" spans="4:8">
      <c r="D542" s="4"/>
      <c r="E542" s="5"/>
      <c r="G542" s="4"/>
      <c r="H542" s="4"/>
    </row>
    <row r="543" ht="14.25" customHeight="1" spans="4:8">
      <c r="D543" s="4"/>
      <c r="E543" s="5"/>
      <c r="G543" s="4"/>
      <c r="H543" s="4"/>
    </row>
    <row r="544" ht="14.25" customHeight="1" spans="4:8">
      <c r="D544" s="4"/>
      <c r="E544" s="5"/>
      <c r="G544" s="4"/>
      <c r="H544" s="4"/>
    </row>
    <row r="545" ht="14.25" customHeight="1" spans="4:8">
      <c r="D545" s="4"/>
      <c r="E545" s="5"/>
      <c r="G545" s="4"/>
      <c r="H545" s="4"/>
    </row>
    <row r="546" ht="14.25" customHeight="1" spans="4:8">
      <c r="D546" s="4"/>
      <c r="E546" s="5"/>
      <c r="G546" s="4"/>
      <c r="H546" s="4"/>
    </row>
    <row r="547" ht="14.25" customHeight="1" spans="4:8">
      <c r="D547" s="4"/>
      <c r="E547" s="5"/>
      <c r="G547" s="4"/>
      <c r="H547" s="4"/>
    </row>
    <row r="548" ht="14.25" customHeight="1" spans="4:8">
      <c r="D548" s="4"/>
      <c r="E548" s="5"/>
      <c r="G548" s="4"/>
      <c r="H548" s="4"/>
    </row>
    <row r="549" ht="14.25" customHeight="1" spans="4:8">
      <c r="D549" s="4"/>
      <c r="E549" s="5"/>
      <c r="G549" s="4"/>
      <c r="H549" s="4"/>
    </row>
    <row r="550" ht="14.25" customHeight="1" spans="4:8">
      <c r="D550" s="4"/>
      <c r="E550" s="5"/>
      <c r="G550" s="4"/>
      <c r="H550" s="4"/>
    </row>
    <row r="551" ht="14.25" customHeight="1" spans="4:8">
      <c r="D551" s="4"/>
      <c r="E551" s="5"/>
      <c r="G551" s="4"/>
      <c r="H551" s="4"/>
    </row>
    <row r="552" ht="14.25" customHeight="1" spans="4:8">
      <c r="D552" s="4"/>
      <c r="E552" s="5"/>
      <c r="G552" s="4"/>
      <c r="H552" s="4"/>
    </row>
    <row r="553" ht="14.25" customHeight="1" spans="4:8">
      <c r="D553" s="4"/>
      <c r="E553" s="5"/>
      <c r="G553" s="4"/>
      <c r="H553" s="4"/>
    </row>
    <row r="554" ht="14.25" customHeight="1" spans="4:8">
      <c r="D554" s="4"/>
      <c r="E554" s="5"/>
      <c r="G554" s="4"/>
      <c r="H554" s="4"/>
    </row>
    <row r="555" ht="14.25" customHeight="1" spans="4:8">
      <c r="D555" s="4"/>
      <c r="E555" s="5"/>
      <c r="G555" s="4"/>
      <c r="H555" s="4"/>
    </row>
    <row r="556" ht="14.25" customHeight="1" spans="4:8">
      <c r="D556" s="4"/>
      <c r="E556" s="5"/>
      <c r="G556" s="4"/>
      <c r="H556" s="4"/>
    </row>
    <row r="557" ht="14.25" customHeight="1" spans="4:8">
      <c r="D557" s="4"/>
      <c r="E557" s="5"/>
      <c r="G557" s="4"/>
      <c r="H557" s="4"/>
    </row>
    <row r="558" ht="14.25" customHeight="1" spans="4:8">
      <c r="D558" s="4"/>
      <c r="E558" s="5"/>
      <c r="G558" s="4"/>
      <c r="H558" s="4"/>
    </row>
    <row r="559" ht="14.25" customHeight="1" spans="4:8">
      <c r="D559" s="4"/>
      <c r="E559" s="5"/>
      <c r="G559" s="4"/>
      <c r="H559" s="4"/>
    </row>
    <row r="560" ht="14.25" customHeight="1" spans="4:8">
      <c r="D560" s="4"/>
      <c r="E560" s="5"/>
      <c r="G560" s="4"/>
      <c r="H560" s="4"/>
    </row>
    <row r="561" ht="14.25" customHeight="1" spans="4:8">
      <c r="D561" s="4"/>
      <c r="E561" s="5"/>
      <c r="G561" s="4"/>
      <c r="H561" s="4"/>
    </row>
    <row r="562" ht="14.25" customHeight="1" spans="4:8">
      <c r="D562" s="4"/>
      <c r="E562" s="5"/>
      <c r="G562" s="4"/>
      <c r="H562" s="4"/>
    </row>
    <row r="563" ht="14.25" customHeight="1" spans="4:8">
      <c r="D563" s="4"/>
      <c r="E563" s="5"/>
      <c r="G563" s="4"/>
      <c r="H563" s="4"/>
    </row>
    <row r="564" ht="14.25" customHeight="1" spans="4:8">
      <c r="D564" s="4"/>
      <c r="E564" s="5"/>
      <c r="G564" s="4"/>
      <c r="H564" s="4"/>
    </row>
    <row r="565" ht="14.25" customHeight="1" spans="4:8">
      <c r="D565" s="4"/>
      <c r="E565" s="5"/>
      <c r="G565" s="4"/>
      <c r="H565" s="4"/>
    </row>
    <row r="566" ht="14.25" customHeight="1" spans="4:8">
      <c r="D566" s="4"/>
      <c r="E566" s="5"/>
      <c r="G566" s="4"/>
      <c r="H566" s="4"/>
    </row>
    <row r="567" ht="14.25" customHeight="1" spans="4:8">
      <c r="D567" s="4"/>
      <c r="E567" s="5"/>
      <c r="G567" s="4"/>
      <c r="H567" s="4"/>
    </row>
    <row r="568" ht="14.25" customHeight="1" spans="4:8">
      <c r="D568" s="4"/>
      <c r="E568" s="5"/>
      <c r="G568" s="4"/>
      <c r="H568" s="4"/>
    </row>
    <row r="569" ht="14.25" customHeight="1" spans="4:8">
      <c r="D569" s="4"/>
      <c r="E569" s="5"/>
      <c r="G569" s="4"/>
      <c r="H569" s="4"/>
    </row>
    <row r="570" ht="14.25" customHeight="1" spans="4:8">
      <c r="D570" s="4"/>
      <c r="E570" s="5"/>
      <c r="G570" s="4"/>
      <c r="H570" s="4"/>
    </row>
    <row r="571" ht="14.25" customHeight="1" spans="4:8">
      <c r="D571" s="4"/>
      <c r="E571" s="5"/>
      <c r="G571" s="4"/>
      <c r="H571" s="4"/>
    </row>
    <row r="572" ht="14.25" customHeight="1" spans="4:8">
      <c r="D572" s="4"/>
      <c r="E572" s="5"/>
      <c r="G572" s="4"/>
      <c r="H572" s="4"/>
    </row>
    <row r="573" ht="14.25" customHeight="1" spans="4:8">
      <c r="D573" s="4"/>
      <c r="E573" s="5"/>
      <c r="G573" s="4"/>
      <c r="H573" s="4"/>
    </row>
    <row r="574" ht="14.25" customHeight="1" spans="4:8">
      <c r="D574" s="4"/>
      <c r="E574" s="5"/>
      <c r="G574" s="4"/>
      <c r="H574" s="4"/>
    </row>
    <row r="575" ht="14.25" customHeight="1" spans="4:8">
      <c r="D575" s="4"/>
      <c r="E575" s="5"/>
      <c r="G575" s="4"/>
      <c r="H575" s="4"/>
    </row>
    <row r="576" ht="14.25" customHeight="1" spans="4:8">
      <c r="D576" s="4"/>
      <c r="E576" s="5"/>
      <c r="G576" s="4"/>
      <c r="H576" s="4"/>
    </row>
    <row r="577" ht="14.25" customHeight="1" spans="4:8">
      <c r="D577" s="4"/>
      <c r="E577" s="5"/>
      <c r="G577" s="4"/>
      <c r="H577" s="4"/>
    </row>
    <row r="578" ht="14.25" customHeight="1" spans="4:8">
      <c r="D578" s="4"/>
      <c r="E578" s="5"/>
      <c r="G578" s="4"/>
      <c r="H578" s="4"/>
    </row>
    <row r="579" ht="14.25" customHeight="1" spans="4:8">
      <c r="D579" s="4"/>
      <c r="E579" s="5"/>
      <c r="G579" s="4"/>
      <c r="H579" s="4"/>
    </row>
    <row r="580" ht="14.25" customHeight="1" spans="4:8">
      <c r="D580" s="4"/>
      <c r="E580" s="5"/>
      <c r="G580" s="4"/>
      <c r="H580" s="4"/>
    </row>
    <row r="581" ht="14.25" customHeight="1" spans="4:8">
      <c r="D581" s="4"/>
      <c r="E581" s="5"/>
      <c r="G581" s="4"/>
      <c r="H581" s="4"/>
    </row>
    <row r="582" ht="14.25" customHeight="1" spans="4:8">
      <c r="D582" s="4"/>
      <c r="E582" s="5"/>
      <c r="G582" s="4"/>
      <c r="H582" s="4"/>
    </row>
    <row r="583" ht="14.25" customHeight="1" spans="4:8">
      <c r="D583" s="4"/>
      <c r="E583" s="5"/>
      <c r="G583" s="4"/>
      <c r="H583" s="4"/>
    </row>
    <row r="584" ht="14.25" customHeight="1" spans="4:8">
      <c r="D584" s="4"/>
      <c r="E584" s="5"/>
      <c r="G584" s="4"/>
      <c r="H584" s="4"/>
    </row>
    <row r="585" ht="14.25" customHeight="1" spans="4:8">
      <c r="D585" s="4"/>
      <c r="E585" s="5"/>
      <c r="G585" s="4"/>
      <c r="H585" s="4"/>
    </row>
    <row r="586" ht="14.25" customHeight="1" spans="4:8">
      <c r="D586" s="4"/>
      <c r="E586" s="5"/>
      <c r="G586" s="4"/>
      <c r="H586" s="4"/>
    </row>
    <row r="587" ht="14.25" customHeight="1" spans="4:8">
      <c r="D587" s="4"/>
      <c r="E587" s="5"/>
      <c r="G587" s="4"/>
      <c r="H587" s="4"/>
    </row>
    <row r="588" ht="14.25" customHeight="1" spans="4:8">
      <c r="D588" s="4"/>
      <c r="E588" s="5"/>
      <c r="G588" s="4"/>
      <c r="H588" s="4"/>
    </row>
    <row r="589" ht="14.25" customHeight="1" spans="4:8">
      <c r="D589" s="4"/>
      <c r="E589" s="5"/>
      <c r="G589" s="4"/>
      <c r="H589" s="4"/>
    </row>
    <row r="590" ht="14.25" customHeight="1" spans="4:8">
      <c r="D590" s="4"/>
      <c r="E590" s="5"/>
      <c r="G590" s="4"/>
      <c r="H590" s="4"/>
    </row>
    <row r="591" ht="14.25" customHeight="1" spans="4:8">
      <c r="D591" s="4"/>
      <c r="E591" s="5"/>
      <c r="G591" s="4"/>
      <c r="H591" s="4"/>
    </row>
    <row r="592" ht="14.25" customHeight="1" spans="4:8">
      <c r="D592" s="4"/>
      <c r="E592" s="5"/>
      <c r="G592" s="4"/>
      <c r="H592" s="4"/>
    </row>
    <row r="593" ht="14.25" customHeight="1" spans="4:8">
      <c r="D593" s="4"/>
      <c r="E593" s="5"/>
      <c r="G593" s="4"/>
      <c r="H593" s="4"/>
    </row>
    <row r="594" ht="14.25" customHeight="1" spans="4:8">
      <c r="D594" s="4"/>
      <c r="E594" s="5"/>
      <c r="G594" s="4"/>
      <c r="H594" s="4"/>
    </row>
    <row r="595" ht="14.25" customHeight="1" spans="4:8">
      <c r="D595" s="4"/>
      <c r="E595" s="5"/>
      <c r="G595" s="4"/>
      <c r="H595" s="4"/>
    </row>
    <row r="596" ht="14.25" customHeight="1" spans="4:8">
      <c r="D596" s="4"/>
      <c r="E596" s="5"/>
      <c r="G596" s="4"/>
      <c r="H596" s="4"/>
    </row>
    <row r="597" ht="14.25" customHeight="1" spans="4:8">
      <c r="D597" s="4"/>
      <c r="E597" s="5"/>
      <c r="G597" s="4"/>
      <c r="H597" s="4"/>
    </row>
    <row r="598" ht="14.25" customHeight="1" spans="4:8">
      <c r="D598" s="4"/>
      <c r="E598" s="5"/>
      <c r="G598" s="4"/>
      <c r="H598" s="4"/>
    </row>
    <row r="599" ht="14.25" customHeight="1" spans="4:8">
      <c r="D599" s="4"/>
      <c r="E599" s="5"/>
      <c r="G599" s="4"/>
      <c r="H599" s="4"/>
    </row>
    <row r="600" ht="14.25" customHeight="1" spans="4:8">
      <c r="D600" s="4"/>
      <c r="E600" s="5"/>
      <c r="G600" s="4"/>
      <c r="H600" s="4"/>
    </row>
    <row r="601" ht="14.25" customHeight="1" spans="4:8">
      <c r="D601" s="4"/>
      <c r="E601" s="5"/>
      <c r="G601" s="4"/>
      <c r="H601" s="4"/>
    </row>
    <row r="602" ht="14.25" customHeight="1" spans="4:8">
      <c r="D602" s="4"/>
      <c r="E602" s="5"/>
      <c r="G602" s="4"/>
      <c r="H602" s="4"/>
    </row>
    <row r="603" ht="14.25" customHeight="1" spans="4:8">
      <c r="D603" s="4"/>
      <c r="E603" s="5"/>
      <c r="G603" s="4"/>
      <c r="H603" s="4"/>
    </row>
    <row r="604" ht="14.25" customHeight="1" spans="4:8">
      <c r="D604" s="4"/>
      <c r="E604" s="5"/>
      <c r="G604" s="4"/>
      <c r="H604" s="4"/>
    </row>
    <row r="605" ht="14.25" customHeight="1" spans="4:8">
      <c r="D605" s="4"/>
      <c r="E605" s="5"/>
      <c r="G605" s="4"/>
      <c r="H605" s="4"/>
    </row>
    <row r="606" ht="14.25" customHeight="1" spans="4:8">
      <c r="D606" s="4"/>
      <c r="E606" s="5"/>
      <c r="G606" s="4"/>
      <c r="H606" s="4"/>
    </row>
    <row r="607" ht="14.25" customHeight="1" spans="4:8">
      <c r="D607" s="4"/>
      <c r="E607" s="5"/>
      <c r="G607" s="4"/>
      <c r="H607" s="4"/>
    </row>
    <row r="608" ht="14.25" customHeight="1" spans="4:8">
      <c r="D608" s="4"/>
      <c r="E608" s="5"/>
      <c r="G608" s="4"/>
      <c r="H608" s="4"/>
    </row>
    <row r="609" ht="14.25" customHeight="1" spans="4:8">
      <c r="D609" s="4"/>
      <c r="E609" s="5"/>
      <c r="G609" s="4"/>
      <c r="H609" s="4"/>
    </row>
    <row r="610" ht="14.25" customHeight="1" spans="4:8">
      <c r="D610" s="4"/>
      <c r="E610" s="5"/>
      <c r="G610" s="4"/>
      <c r="H610" s="4"/>
    </row>
    <row r="611" ht="14.25" customHeight="1" spans="4:8">
      <c r="D611" s="4"/>
      <c r="E611" s="5"/>
      <c r="G611" s="4"/>
      <c r="H611" s="4"/>
    </row>
    <row r="612" ht="14.25" customHeight="1" spans="4:8">
      <c r="D612" s="4"/>
      <c r="E612" s="5"/>
      <c r="G612" s="4"/>
      <c r="H612" s="4"/>
    </row>
    <row r="613" ht="14.25" customHeight="1" spans="4:8">
      <c r="D613" s="4"/>
      <c r="E613" s="5"/>
      <c r="G613" s="4"/>
      <c r="H613" s="4"/>
    </row>
    <row r="614" ht="14.25" customHeight="1" spans="4:8">
      <c r="D614" s="4"/>
      <c r="E614" s="5"/>
      <c r="G614" s="4"/>
      <c r="H614" s="4"/>
    </row>
    <row r="615" ht="14.25" customHeight="1" spans="4:8">
      <c r="D615" s="4"/>
      <c r="E615" s="5"/>
      <c r="G615" s="4"/>
      <c r="H615" s="4"/>
    </row>
    <row r="616" ht="14.25" customHeight="1" spans="4:8">
      <c r="D616" s="4"/>
      <c r="E616" s="5"/>
      <c r="G616" s="4"/>
      <c r="H616" s="4"/>
    </row>
    <row r="617" ht="14.25" customHeight="1" spans="4:8">
      <c r="D617" s="4"/>
      <c r="E617" s="5"/>
      <c r="G617" s="4"/>
      <c r="H617" s="4"/>
    </row>
    <row r="618" ht="14.25" customHeight="1" spans="4:8">
      <c r="D618" s="4"/>
      <c r="E618" s="5"/>
      <c r="G618" s="4"/>
      <c r="H618" s="4"/>
    </row>
    <row r="619" ht="14.25" customHeight="1" spans="4:8">
      <c r="D619" s="4"/>
      <c r="E619" s="5"/>
      <c r="G619" s="4"/>
      <c r="H619" s="4"/>
    </row>
    <row r="620" ht="14.25" customHeight="1" spans="4:8">
      <c r="D620" s="4"/>
      <c r="E620" s="5"/>
      <c r="G620" s="4"/>
      <c r="H620" s="4"/>
    </row>
    <row r="621" ht="14.25" customHeight="1" spans="4:8">
      <c r="D621" s="4"/>
      <c r="E621" s="5"/>
      <c r="G621" s="4"/>
      <c r="H621" s="4"/>
    </row>
    <row r="622" ht="14.25" customHeight="1" spans="4:8">
      <c r="D622" s="4"/>
      <c r="E622" s="5"/>
      <c r="G622" s="4"/>
      <c r="H622" s="4"/>
    </row>
    <row r="623" ht="14.25" customHeight="1" spans="4:8">
      <c r="D623" s="4"/>
      <c r="E623" s="5"/>
      <c r="G623" s="4"/>
      <c r="H623" s="4"/>
    </row>
    <row r="624" ht="14.25" customHeight="1" spans="4:8">
      <c r="D624" s="4"/>
      <c r="E624" s="5"/>
      <c r="G624" s="4"/>
      <c r="H624" s="4"/>
    </row>
    <row r="625" ht="14.25" customHeight="1" spans="4:8">
      <c r="D625" s="4"/>
      <c r="E625" s="5"/>
      <c r="G625" s="4"/>
      <c r="H625" s="4"/>
    </row>
    <row r="626" ht="14.25" customHeight="1" spans="4:8">
      <c r="D626" s="4"/>
      <c r="E626" s="5"/>
      <c r="G626" s="4"/>
      <c r="H626" s="4"/>
    </row>
    <row r="627" ht="14.25" customHeight="1" spans="4:8">
      <c r="D627" s="4"/>
      <c r="E627" s="5"/>
      <c r="G627" s="4"/>
      <c r="H627" s="4"/>
    </row>
    <row r="628" ht="14.25" customHeight="1" spans="4:8">
      <c r="D628" s="4"/>
      <c r="E628" s="5"/>
      <c r="G628" s="4"/>
      <c r="H628" s="4"/>
    </row>
    <row r="629" ht="14.25" customHeight="1" spans="4:8">
      <c r="D629" s="4"/>
      <c r="E629" s="5"/>
      <c r="G629" s="4"/>
      <c r="H629" s="4"/>
    </row>
    <row r="630" ht="14.25" customHeight="1" spans="4:8">
      <c r="D630" s="4"/>
      <c r="E630" s="5"/>
      <c r="G630" s="4"/>
      <c r="H630" s="4"/>
    </row>
    <row r="631" ht="14.25" customHeight="1" spans="4:8">
      <c r="D631" s="4"/>
      <c r="E631" s="5"/>
      <c r="G631" s="4"/>
      <c r="H631" s="4"/>
    </row>
    <row r="632" ht="14.25" customHeight="1" spans="4:8">
      <c r="D632" s="4"/>
      <c r="E632" s="5"/>
      <c r="G632" s="4"/>
      <c r="H632" s="4"/>
    </row>
    <row r="633" ht="14.25" customHeight="1" spans="4:8">
      <c r="D633" s="4"/>
      <c r="E633" s="5"/>
      <c r="G633" s="4"/>
      <c r="H633" s="4"/>
    </row>
    <row r="634" ht="14.25" customHeight="1" spans="4:8">
      <c r="D634" s="4"/>
      <c r="E634" s="5"/>
      <c r="G634" s="4"/>
      <c r="H634" s="4"/>
    </row>
    <row r="635" ht="14.25" customHeight="1" spans="4:8">
      <c r="D635" s="4"/>
      <c r="E635" s="5"/>
      <c r="G635" s="4"/>
      <c r="H635" s="4"/>
    </row>
    <row r="636" ht="14.25" customHeight="1" spans="4:8">
      <c r="D636" s="4"/>
      <c r="E636" s="5"/>
      <c r="G636" s="4"/>
      <c r="H636" s="4"/>
    </row>
    <row r="637" ht="14.25" customHeight="1" spans="4:8">
      <c r="D637" s="4"/>
      <c r="E637" s="5"/>
      <c r="G637" s="4"/>
      <c r="H637" s="4"/>
    </row>
    <row r="638" ht="14.25" customHeight="1" spans="4:8">
      <c r="D638" s="4"/>
      <c r="E638" s="5"/>
      <c r="G638" s="4"/>
      <c r="H638" s="4"/>
    </row>
    <row r="639" ht="14.25" customHeight="1" spans="4:8">
      <c r="D639" s="4"/>
      <c r="E639" s="5"/>
      <c r="G639" s="4"/>
      <c r="H639" s="4"/>
    </row>
    <row r="640" ht="14.25" customHeight="1" spans="4:8">
      <c r="D640" s="4"/>
      <c r="E640" s="5"/>
      <c r="G640" s="4"/>
      <c r="H640" s="4"/>
    </row>
    <row r="641" ht="14.25" customHeight="1" spans="4:8">
      <c r="D641" s="4"/>
      <c r="E641" s="5"/>
      <c r="G641" s="4"/>
      <c r="H641" s="4"/>
    </row>
    <row r="642" ht="14.25" customHeight="1" spans="4:8">
      <c r="D642" s="4"/>
      <c r="E642" s="5"/>
      <c r="G642" s="4"/>
      <c r="H642" s="4"/>
    </row>
    <row r="643" ht="14.25" customHeight="1" spans="4:8">
      <c r="D643" s="4"/>
      <c r="E643" s="5"/>
      <c r="G643" s="4"/>
      <c r="H643" s="4"/>
    </row>
    <row r="644" ht="14.25" customHeight="1" spans="4:8">
      <c r="D644" s="4"/>
      <c r="E644" s="5"/>
      <c r="G644" s="4"/>
      <c r="H644" s="4"/>
    </row>
    <row r="645" ht="14.25" customHeight="1" spans="4:8">
      <c r="D645" s="4"/>
      <c r="E645" s="5"/>
      <c r="G645" s="4"/>
      <c r="H645" s="4"/>
    </row>
    <row r="646" ht="14.25" customHeight="1" spans="4:8">
      <c r="D646" s="4"/>
      <c r="E646" s="5"/>
      <c r="G646" s="4"/>
      <c r="H646" s="4"/>
    </row>
    <row r="647" ht="14.25" customHeight="1" spans="4:8">
      <c r="D647" s="4"/>
      <c r="E647" s="5"/>
      <c r="G647" s="4"/>
      <c r="H647" s="4"/>
    </row>
    <row r="648" ht="14.25" customHeight="1" spans="4:8">
      <c r="D648" s="4"/>
      <c r="E648" s="5"/>
      <c r="G648" s="4"/>
      <c r="H648" s="4"/>
    </row>
    <row r="649" ht="14.25" customHeight="1" spans="4:8">
      <c r="D649" s="4"/>
      <c r="E649" s="5"/>
      <c r="G649" s="4"/>
      <c r="H649" s="4"/>
    </row>
    <row r="650" ht="14.25" customHeight="1" spans="4:8">
      <c r="D650" s="4"/>
      <c r="E650" s="5"/>
      <c r="G650" s="4"/>
      <c r="H650" s="4"/>
    </row>
    <row r="651" ht="14.25" customHeight="1" spans="4:8">
      <c r="D651" s="4"/>
      <c r="E651" s="5"/>
      <c r="G651" s="4"/>
      <c r="H651" s="4"/>
    </row>
    <row r="652" ht="14.25" customHeight="1" spans="4:8">
      <c r="D652" s="4"/>
      <c r="E652" s="5"/>
      <c r="G652" s="4"/>
      <c r="H652" s="4"/>
    </row>
    <row r="653" ht="14.25" customHeight="1" spans="4:8">
      <c r="D653" s="4"/>
      <c r="E653" s="5"/>
      <c r="G653" s="4"/>
      <c r="H653" s="4"/>
    </row>
    <row r="654" ht="14.25" customHeight="1" spans="4:8">
      <c r="D654" s="4"/>
      <c r="E654" s="5"/>
      <c r="G654" s="4"/>
      <c r="H654" s="4"/>
    </row>
    <row r="655" ht="14.25" customHeight="1" spans="4:8">
      <c r="D655" s="4"/>
      <c r="E655" s="5"/>
      <c r="G655" s="4"/>
      <c r="H655" s="4"/>
    </row>
    <row r="656" ht="14.25" customHeight="1" spans="4:8">
      <c r="D656" s="4"/>
      <c r="E656" s="5"/>
      <c r="G656" s="4"/>
      <c r="H656" s="4"/>
    </row>
    <row r="657" ht="14.25" customHeight="1" spans="4:8">
      <c r="D657" s="4"/>
      <c r="E657" s="5"/>
      <c r="G657" s="4"/>
      <c r="H657" s="4"/>
    </row>
    <row r="658" ht="14.25" customHeight="1" spans="4:8">
      <c r="D658" s="4"/>
      <c r="E658" s="5"/>
      <c r="G658" s="4"/>
      <c r="H658" s="4"/>
    </row>
    <row r="659" ht="14.25" customHeight="1" spans="4:8">
      <c r="D659" s="4"/>
      <c r="E659" s="5"/>
      <c r="G659" s="4"/>
      <c r="H659" s="4"/>
    </row>
    <row r="660" ht="14.25" customHeight="1" spans="4:8">
      <c r="D660" s="4"/>
      <c r="E660" s="5"/>
      <c r="G660" s="4"/>
      <c r="H660" s="4"/>
    </row>
    <row r="661" ht="14.25" customHeight="1" spans="4:8">
      <c r="D661" s="4"/>
      <c r="E661" s="5"/>
      <c r="G661" s="4"/>
      <c r="H661" s="4"/>
    </row>
    <row r="662" ht="14.25" customHeight="1" spans="4:8">
      <c r="D662" s="4"/>
      <c r="E662" s="5"/>
      <c r="G662" s="4"/>
      <c r="H662" s="4"/>
    </row>
    <row r="663" ht="14.25" customHeight="1" spans="4:8">
      <c r="D663" s="4"/>
      <c r="E663" s="5"/>
      <c r="G663" s="4"/>
      <c r="H663" s="4"/>
    </row>
    <row r="664" ht="14.25" customHeight="1" spans="4:8">
      <c r="D664" s="4"/>
      <c r="E664" s="5"/>
      <c r="G664" s="4"/>
      <c r="H664" s="4"/>
    </row>
    <row r="665" ht="14.25" customHeight="1" spans="4:8">
      <c r="D665" s="4"/>
      <c r="E665" s="5"/>
      <c r="G665" s="4"/>
      <c r="H665" s="4"/>
    </row>
    <row r="666" ht="14.25" customHeight="1" spans="4:8">
      <c r="D666" s="4"/>
      <c r="E666" s="5"/>
      <c r="G666" s="4"/>
      <c r="H666" s="4"/>
    </row>
    <row r="667" ht="14.25" customHeight="1" spans="4:8">
      <c r="D667" s="4"/>
      <c r="E667" s="5"/>
      <c r="G667" s="4"/>
      <c r="H667" s="4"/>
    </row>
    <row r="668" ht="14.25" customHeight="1" spans="4:8">
      <c r="D668" s="4"/>
      <c r="E668" s="5"/>
      <c r="G668" s="4"/>
      <c r="H668" s="4"/>
    </row>
    <row r="669" ht="14.25" customHeight="1" spans="4:8">
      <c r="D669" s="4"/>
      <c r="E669" s="5"/>
      <c r="G669" s="4"/>
      <c r="H669" s="4"/>
    </row>
    <row r="670" ht="14.25" customHeight="1" spans="4:8">
      <c r="D670" s="4"/>
      <c r="E670" s="5"/>
      <c r="G670" s="4"/>
      <c r="H670" s="4"/>
    </row>
    <row r="671" ht="14.25" customHeight="1" spans="4:8">
      <c r="D671" s="4"/>
      <c r="E671" s="5"/>
      <c r="G671" s="4"/>
      <c r="H671" s="4"/>
    </row>
    <row r="672" ht="14.25" customHeight="1" spans="4:8">
      <c r="D672" s="4"/>
      <c r="E672" s="5"/>
      <c r="G672" s="4"/>
      <c r="H672" s="4"/>
    </row>
    <row r="673" ht="14.25" customHeight="1" spans="4:8">
      <c r="D673" s="4"/>
      <c r="E673" s="5"/>
      <c r="G673" s="4"/>
      <c r="H673" s="4"/>
    </row>
    <row r="674" ht="14.25" customHeight="1" spans="4:8">
      <c r="D674" s="4"/>
      <c r="E674" s="5"/>
      <c r="G674" s="4"/>
      <c r="H674" s="4"/>
    </row>
    <row r="675" ht="14.25" customHeight="1" spans="4:8">
      <c r="D675" s="4"/>
      <c r="E675" s="5"/>
      <c r="G675" s="4"/>
      <c r="H675" s="4"/>
    </row>
    <row r="676" ht="14.25" customHeight="1" spans="4:8">
      <c r="D676" s="4"/>
      <c r="E676" s="5"/>
      <c r="G676" s="4"/>
      <c r="H676" s="4"/>
    </row>
    <row r="677" ht="14.25" customHeight="1" spans="4:8">
      <c r="D677" s="4"/>
      <c r="E677" s="5"/>
      <c r="G677" s="4"/>
      <c r="H677" s="4"/>
    </row>
    <row r="678" ht="14.25" customHeight="1" spans="4:8">
      <c r="D678" s="4"/>
      <c r="E678" s="5"/>
      <c r="G678" s="4"/>
      <c r="H678" s="4"/>
    </row>
    <row r="679" ht="14.25" customHeight="1" spans="4:8">
      <c r="D679" s="4"/>
      <c r="E679" s="5"/>
      <c r="G679" s="4"/>
      <c r="H679" s="4"/>
    </row>
    <row r="680" ht="14.25" customHeight="1" spans="4:8">
      <c r="D680" s="4"/>
      <c r="E680" s="5"/>
      <c r="G680" s="4"/>
      <c r="H680" s="4"/>
    </row>
    <row r="681" ht="14.25" customHeight="1" spans="4:8">
      <c r="D681" s="4"/>
      <c r="E681" s="5"/>
      <c r="G681" s="4"/>
      <c r="H681" s="4"/>
    </row>
    <row r="682" ht="14.25" customHeight="1" spans="4:8">
      <c r="D682" s="4"/>
      <c r="E682" s="5"/>
      <c r="G682" s="4"/>
      <c r="H682" s="4"/>
    </row>
    <row r="683" ht="14.25" customHeight="1" spans="4:8">
      <c r="D683" s="4"/>
      <c r="E683" s="5"/>
      <c r="G683" s="4"/>
      <c r="H683" s="4"/>
    </row>
    <row r="684" ht="14.25" customHeight="1" spans="4:8">
      <c r="D684" s="4"/>
      <c r="E684" s="5"/>
      <c r="G684" s="4"/>
      <c r="H684" s="4"/>
    </row>
    <row r="685" ht="14.25" customHeight="1" spans="4:8">
      <c r="D685" s="4"/>
      <c r="E685" s="5"/>
      <c r="G685" s="4"/>
      <c r="H685" s="4"/>
    </row>
    <row r="686" ht="14.25" customHeight="1" spans="4:8">
      <c r="D686" s="4"/>
      <c r="E686" s="5"/>
      <c r="G686" s="4"/>
      <c r="H686" s="4"/>
    </row>
    <row r="687" ht="14.25" customHeight="1" spans="4:8">
      <c r="D687" s="4"/>
      <c r="E687" s="5"/>
      <c r="G687" s="4"/>
      <c r="H687" s="4"/>
    </row>
    <row r="688" ht="14.25" customHeight="1" spans="4:8">
      <c r="D688" s="4"/>
      <c r="E688" s="5"/>
      <c r="G688" s="4"/>
      <c r="H688" s="4"/>
    </row>
    <row r="689" ht="14.25" customHeight="1" spans="4:8">
      <c r="D689" s="4"/>
      <c r="E689" s="5"/>
      <c r="G689" s="4"/>
      <c r="H689" s="4"/>
    </row>
    <row r="690" ht="14.25" customHeight="1" spans="4:8">
      <c r="D690" s="4"/>
      <c r="E690" s="5"/>
      <c r="G690" s="4"/>
      <c r="H690" s="4"/>
    </row>
    <row r="691" ht="14.25" customHeight="1" spans="4:8">
      <c r="D691" s="4"/>
      <c r="E691" s="5"/>
      <c r="G691" s="4"/>
      <c r="H691" s="4"/>
    </row>
    <row r="692" ht="14.25" customHeight="1" spans="4:8">
      <c r="D692" s="4"/>
      <c r="E692" s="5"/>
      <c r="G692" s="4"/>
      <c r="H692" s="4"/>
    </row>
    <row r="693" ht="14.25" customHeight="1" spans="4:8">
      <c r="D693" s="4"/>
      <c r="E693" s="5"/>
      <c r="G693" s="4"/>
      <c r="H693" s="4"/>
    </row>
    <row r="694" ht="14.25" customHeight="1" spans="4:8">
      <c r="D694" s="4"/>
      <c r="E694" s="5"/>
      <c r="G694" s="4"/>
      <c r="H694" s="4"/>
    </row>
    <row r="695" ht="14.25" customHeight="1" spans="4:8">
      <c r="D695" s="4"/>
      <c r="E695" s="5"/>
      <c r="G695" s="4"/>
      <c r="H695" s="4"/>
    </row>
    <row r="696" ht="14.25" customHeight="1" spans="4:8">
      <c r="D696" s="4"/>
      <c r="E696" s="5"/>
      <c r="G696" s="4"/>
      <c r="H696" s="4"/>
    </row>
    <row r="697" ht="14.25" customHeight="1" spans="4:8">
      <c r="D697" s="4"/>
      <c r="E697" s="5"/>
      <c r="G697" s="4"/>
      <c r="H697" s="4"/>
    </row>
    <row r="698" ht="14.25" customHeight="1" spans="4:8">
      <c r="D698" s="4"/>
      <c r="E698" s="5"/>
      <c r="G698" s="4"/>
      <c r="H698" s="4"/>
    </row>
    <row r="699" ht="14.25" customHeight="1" spans="4:8">
      <c r="D699" s="4"/>
      <c r="E699" s="5"/>
      <c r="G699" s="4"/>
      <c r="H699" s="4"/>
    </row>
    <row r="700" ht="14.25" customHeight="1" spans="4:8">
      <c r="D700" s="4"/>
      <c r="E700" s="5"/>
      <c r="G700" s="4"/>
      <c r="H700" s="4"/>
    </row>
    <row r="701" ht="14.25" customHeight="1" spans="4:8">
      <c r="D701" s="4"/>
      <c r="E701" s="5"/>
      <c r="G701" s="4"/>
      <c r="H701" s="4"/>
    </row>
    <row r="702" ht="14.25" customHeight="1" spans="4:8">
      <c r="D702" s="4"/>
      <c r="E702" s="5"/>
      <c r="G702" s="4"/>
      <c r="H702" s="4"/>
    </row>
    <row r="703" ht="14.25" customHeight="1" spans="4:8">
      <c r="D703" s="4"/>
      <c r="E703" s="5"/>
      <c r="G703" s="4"/>
      <c r="H703" s="4"/>
    </row>
    <row r="704" ht="14.25" customHeight="1" spans="4:8">
      <c r="D704" s="4"/>
      <c r="E704" s="5"/>
      <c r="G704" s="4"/>
      <c r="H704" s="4"/>
    </row>
    <row r="705" ht="14.25" customHeight="1" spans="4:8">
      <c r="D705" s="4"/>
      <c r="E705" s="5"/>
      <c r="G705" s="4"/>
      <c r="H705" s="4"/>
    </row>
    <row r="706" ht="14.25" customHeight="1" spans="4:8">
      <c r="D706" s="4"/>
      <c r="E706" s="5"/>
      <c r="G706" s="4"/>
      <c r="H706" s="4"/>
    </row>
    <row r="707" ht="14.25" customHeight="1" spans="4:8">
      <c r="D707" s="4"/>
      <c r="E707" s="5"/>
      <c r="G707" s="4"/>
      <c r="H707" s="4"/>
    </row>
    <row r="708" ht="14.25" customHeight="1" spans="4:8">
      <c r="D708" s="4"/>
      <c r="E708" s="5"/>
      <c r="G708" s="4"/>
      <c r="H708" s="4"/>
    </row>
    <row r="709" ht="14.25" customHeight="1" spans="4:8">
      <c r="D709" s="4"/>
      <c r="E709" s="5"/>
      <c r="G709" s="4"/>
      <c r="H709" s="4"/>
    </row>
    <row r="710" ht="14.25" customHeight="1" spans="4:8">
      <c r="D710" s="4"/>
      <c r="E710" s="5"/>
      <c r="G710" s="4"/>
      <c r="H710" s="4"/>
    </row>
    <row r="711" ht="14.25" customHeight="1" spans="4:8">
      <c r="D711" s="4"/>
      <c r="E711" s="5"/>
      <c r="G711" s="4"/>
      <c r="H711" s="4"/>
    </row>
    <row r="712" ht="14.25" customHeight="1" spans="4:8">
      <c r="D712" s="4"/>
      <c r="E712" s="5"/>
      <c r="G712" s="4"/>
      <c r="H712" s="4"/>
    </row>
    <row r="713" ht="14.25" customHeight="1" spans="4:8">
      <c r="D713" s="4"/>
      <c r="E713" s="5"/>
      <c r="G713" s="4"/>
      <c r="H713" s="4"/>
    </row>
    <row r="714" ht="14.25" customHeight="1" spans="4:8">
      <c r="D714" s="4"/>
      <c r="E714" s="5"/>
      <c r="G714" s="4"/>
      <c r="H714" s="4"/>
    </row>
    <row r="715" ht="14.25" customHeight="1" spans="4:8">
      <c r="D715" s="4"/>
      <c r="E715" s="5"/>
      <c r="G715" s="4"/>
      <c r="H715" s="4"/>
    </row>
    <row r="716" ht="14.25" customHeight="1" spans="4:8">
      <c r="D716" s="4"/>
      <c r="E716" s="5"/>
      <c r="G716" s="4"/>
      <c r="H716" s="4"/>
    </row>
    <row r="717" ht="14.25" customHeight="1" spans="4:8">
      <c r="D717" s="4"/>
      <c r="E717" s="5"/>
      <c r="G717" s="4"/>
      <c r="H717" s="4"/>
    </row>
    <row r="718" ht="14.25" customHeight="1" spans="4:8">
      <c r="D718" s="4"/>
      <c r="E718" s="5"/>
      <c r="G718" s="4"/>
      <c r="H718" s="4"/>
    </row>
    <row r="719" ht="14.25" customHeight="1" spans="4:8">
      <c r="D719" s="4"/>
      <c r="E719" s="5"/>
      <c r="G719" s="4"/>
      <c r="H719" s="4"/>
    </row>
    <row r="720" ht="14.25" customHeight="1" spans="4:8">
      <c r="D720" s="4"/>
      <c r="E720" s="5"/>
      <c r="G720" s="4"/>
      <c r="H720" s="4"/>
    </row>
    <row r="721" ht="14.25" customHeight="1" spans="4:8">
      <c r="D721" s="4"/>
      <c r="E721" s="5"/>
      <c r="G721" s="4"/>
      <c r="H721" s="4"/>
    </row>
    <row r="722" ht="14.25" customHeight="1" spans="4:8">
      <c r="D722" s="4"/>
      <c r="E722" s="5"/>
      <c r="G722" s="4"/>
      <c r="H722" s="4"/>
    </row>
    <row r="723" ht="14.25" customHeight="1" spans="4:8">
      <c r="D723" s="4"/>
      <c r="E723" s="5"/>
      <c r="G723" s="4"/>
      <c r="H723" s="4"/>
    </row>
    <row r="724" ht="14.25" customHeight="1" spans="4:8">
      <c r="D724" s="4"/>
      <c r="E724" s="5"/>
      <c r="G724" s="4"/>
      <c r="H724" s="4"/>
    </row>
    <row r="725" ht="14.25" customHeight="1" spans="4:8">
      <c r="D725" s="4"/>
      <c r="E725" s="5"/>
      <c r="G725" s="4"/>
      <c r="H725" s="4"/>
    </row>
    <row r="726" ht="14.25" customHeight="1" spans="4:8">
      <c r="D726" s="4"/>
      <c r="E726" s="5"/>
      <c r="G726" s="4"/>
      <c r="H726" s="4"/>
    </row>
    <row r="727" ht="14.25" customHeight="1" spans="4:8">
      <c r="D727" s="4"/>
      <c r="E727" s="5"/>
      <c r="G727" s="4"/>
      <c r="H727" s="4"/>
    </row>
    <row r="728" ht="14.25" customHeight="1" spans="4:8">
      <c r="D728" s="4"/>
      <c r="E728" s="5"/>
      <c r="G728" s="4"/>
      <c r="H728" s="4"/>
    </row>
    <row r="729" ht="14.25" customHeight="1" spans="4:8">
      <c r="D729" s="4"/>
      <c r="E729" s="5"/>
      <c r="G729" s="4"/>
      <c r="H729" s="4"/>
    </row>
    <row r="730" ht="14.25" customHeight="1" spans="4:8">
      <c r="D730" s="4"/>
      <c r="E730" s="5"/>
      <c r="G730" s="4"/>
      <c r="H730" s="4"/>
    </row>
    <row r="731" ht="14.25" customHeight="1" spans="4:8">
      <c r="D731" s="4"/>
      <c r="E731" s="5"/>
      <c r="G731" s="4"/>
      <c r="H731" s="4"/>
    </row>
    <row r="732" ht="14.25" customHeight="1" spans="4:8">
      <c r="D732" s="4"/>
      <c r="E732" s="5"/>
      <c r="G732" s="4"/>
      <c r="H732" s="4"/>
    </row>
    <row r="733" ht="14.25" customHeight="1" spans="4:8">
      <c r="D733" s="4"/>
      <c r="E733" s="5"/>
      <c r="G733" s="4"/>
      <c r="H733" s="4"/>
    </row>
    <row r="734" ht="14.25" customHeight="1" spans="4:8">
      <c r="D734" s="4"/>
      <c r="E734" s="5"/>
      <c r="G734" s="4"/>
      <c r="H734" s="4"/>
    </row>
    <row r="735" ht="14.25" customHeight="1" spans="4:8">
      <c r="D735" s="4"/>
      <c r="E735" s="5"/>
      <c r="G735" s="4"/>
      <c r="H735" s="4"/>
    </row>
    <row r="736" ht="14.25" customHeight="1" spans="4:8">
      <c r="D736" s="4"/>
      <c r="E736" s="5"/>
      <c r="G736" s="4"/>
      <c r="H736" s="4"/>
    </row>
    <row r="737" ht="14.25" customHeight="1" spans="4:8">
      <c r="D737" s="4"/>
      <c r="E737" s="5"/>
      <c r="G737" s="4"/>
      <c r="H737" s="4"/>
    </row>
    <row r="738" ht="14.25" customHeight="1" spans="4:8">
      <c r="D738" s="4"/>
      <c r="E738" s="5"/>
      <c r="G738" s="4"/>
      <c r="H738" s="4"/>
    </row>
    <row r="739" ht="14.25" customHeight="1" spans="4:8">
      <c r="D739" s="4"/>
      <c r="E739" s="5"/>
      <c r="G739" s="4"/>
      <c r="H739" s="4"/>
    </row>
    <row r="740" ht="14.25" customHeight="1" spans="4:8">
      <c r="D740" s="4"/>
      <c r="E740" s="5"/>
      <c r="G740" s="4"/>
      <c r="H740" s="4"/>
    </row>
    <row r="741" ht="14.25" customHeight="1" spans="4:8">
      <c r="D741" s="4"/>
      <c r="E741" s="5"/>
      <c r="G741" s="4"/>
      <c r="H741" s="4"/>
    </row>
    <row r="742" ht="14.25" customHeight="1" spans="4:8">
      <c r="D742" s="4"/>
      <c r="E742" s="5"/>
      <c r="G742" s="4"/>
      <c r="H742" s="4"/>
    </row>
    <row r="743" ht="14.25" customHeight="1" spans="4:8">
      <c r="D743" s="4"/>
      <c r="E743" s="5"/>
      <c r="G743" s="4"/>
      <c r="H743" s="4"/>
    </row>
    <row r="744" ht="14.25" customHeight="1" spans="4:8">
      <c r="D744" s="4"/>
      <c r="E744" s="5"/>
      <c r="G744" s="4"/>
      <c r="H744" s="4"/>
    </row>
    <row r="745" ht="14.25" customHeight="1" spans="4:8">
      <c r="D745" s="4"/>
      <c r="E745" s="5"/>
      <c r="G745" s="4"/>
      <c r="H745" s="4"/>
    </row>
    <row r="746" ht="14.25" customHeight="1" spans="4:8">
      <c r="D746" s="4"/>
      <c r="E746" s="5"/>
      <c r="G746" s="4"/>
      <c r="H746" s="4"/>
    </row>
    <row r="747" ht="14.25" customHeight="1" spans="4:8">
      <c r="D747" s="4"/>
      <c r="E747" s="5"/>
      <c r="G747" s="4"/>
      <c r="H747" s="4"/>
    </row>
    <row r="748" ht="14.25" customHeight="1" spans="4:8">
      <c r="D748" s="4"/>
      <c r="E748" s="5"/>
      <c r="G748" s="4"/>
      <c r="H748" s="4"/>
    </row>
    <row r="749" ht="14.25" customHeight="1" spans="4:8">
      <c r="D749" s="4"/>
      <c r="E749" s="5"/>
      <c r="G749" s="4"/>
      <c r="H749" s="4"/>
    </row>
    <row r="750" ht="14.25" customHeight="1" spans="4:8">
      <c r="D750" s="4"/>
      <c r="E750" s="5"/>
      <c r="G750" s="4"/>
      <c r="H750" s="4"/>
    </row>
    <row r="751" ht="14.25" customHeight="1" spans="4:8">
      <c r="D751" s="4"/>
      <c r="E751" s="5"/>
      <c r="G751" s="4"/>
      <c r="H751" s="4"/>
    </row>
    <row r="752" ht="14.25" customHeight="1" spans="4:8">
      <c r="D752" s="4"/>
      <c r="E752" s="5"/>
      <c r="G752" s="4"/>
      <c r="H752" s="4"/>
    </row>
    <row r="753" ht="14.25" customHeight="1" spans="4:8">
      <c r="D753" s="4"/>
      <c r="E753" s="5"/>
      <c r="G753" s="4"/>
      <c r="H753" s="4"/>
    </row>
    <row r="754" ht="14.25" customHeight="1" spans="4:8">
      <c r="D754" s="4"/>
      <c r="E754" s="5"/>
      <c r="G754" s="4"/>
      <c r="H754" s="4"/>
    </row>
    <row r="755" ht="14.25" customHeight="1" spans="4:8">
      <c r="D755" s="4"/>
      <c r="E755" s="5"/>
      <c r="G755" s="4"/>
      <c r="H755" s="4"/>
    </row>
    <row r="756" ht="14.25" customHeight="1" spans="4:8">
      <c r="D756" s="4"/>
      <c r="E756" s="5"/>
      <c r="G756" s="4"/>
      <c r="H756" s="4"/>
    </row>
    <row r="757" ht="14.25" customHeight="1" spans="4:8">
      <c r="D757" s="4"/>
      <c r="E757" s="5"/>
      <c r="G757" s="4"/>
      <c r="H757" s="4"/>
    </row>
    <row r="758" ht="14.25" customHeight="1" spans="4:8">
      <c r="D758" s="4"/>
      <c r="E758" s="5"/>
      <c r="G758" s="4"/>
      <c r="H758" s="4"/>
    </row>
    <row r="759" ht="14.25" customHeight="1" spans="4:8">
      <c r="D759" s="4"/>
      <c r="E759" s="5"/>
      <c r="G759" s="4"/>
      <c r="H759" s="4"/>
    </row>
    <row r="760" ht="14.25" customHeight="1" spans="4:8">
      <c r="D760" s="4"/>
      <c r="E760" s="5"/>
      <c r="G760" s="4"/>
      <c r="H760" s="4"/>
    </row>
    <row r="761" ht="14.25" customHeight="1" spans="4:8">
      <c r="D761" s="4"/>
      <c r="E761" s="5"/>
      <c r="G761" s="4"/>
      <c r="H761" s="4"/>
    </row>
    <row r="762" ht="14.25" customHeight="1" spans="4:8">
      <c r="D762" s="4"/>
      <c r="E762" s="5"/>
      <c r="G762" s="4"/>
      <c r="H762" s="4"/>
    </row>
    <row r="763" ht="14.25" customHeight="1" spans="4:8">
      <c r="D763" s="4"/>
      <c r="E763" s="5"/>
      <c r="G763" s="4"/>
      <c r="H763" s="4"/>
    </row>
    <row r="764" ht="14.25" customHeight="1" spans="4:8">
      <c r="D764" s="4"/>
      <c r="E764" s="5"/>
      <c r="G764" s="4"/>
      <c r="H764" s="4"/>
    </row>
    <row r="765" ht="14.25" customHeight="1" spans="4:8">
      <c r="D765" s="4"/>
      <c r="E765" s="5"/>
      <c r="G765" s="4"/>
      <c r="H765" s="4"/>
    </row>
    <row r="766" ht="14.25" customHeight="1" spans="4:8">
      <c r="D766" s="4"/>
      <c r="E766" s="5"/>
      <c r="G766" s="4"/>
      <c r="H766" s="4"/>
    </row>
    <row r="767" ht="14.25" customHeight="1" spans="4:8">
      <c r="D767" s="4"/>
      <c r="E767" s="5"/>
      <c r="G767" s="4"/>
      <c r="H767" s="4"/>
    </row>
    <row r="768" ht="14.25" customHeight="1" spans="4:8">
      <c r="D768" s="4"/>
      <c r="E768" s="5"/>
      <c r="G768" s="4"/>
      <c r="H768" s="4"/>
    </row>
    <row r="769" ht="14.25" customHeight="1" spans="4:8">
      <c r="D769" s="4"/>
      <c r="E769" s="5"/>
      <c r="G769" s="4"/>
      <c r="H769" s="4"/>
    </row>
    <row r="770" ht="14.25" customHeight="1" spans="4:8">
      <c r="D770" s="4"/>
      <c r="E770" s="5"/>
      <c r="G770" s="4"/>
      <c r="H770" s="4"/>
    </row>
    <row r="771" ht="14.25" customHeight="1" spans="4:8">
      <c r="D771" s="4"/>
      <c r="E771" s="5"/>
      <c r="G771" s="4"/>
      <c r="H771" s="4"/>
    </row>
    <row r="772" ht="14.25" customHeight="1" spans="4:8">
      <c r="D772" s="4"/>
      <c r="E772" s="5"/>
      <c r="G772" s="4"/>
      <c r="H772" s="4"/>
    </row>
    <row r="773" ht="14.25" customHeight="1" spans="4:8">
      <c r="D773" s="4"/>
      <c r="E773" s="5"/>
      <c r="G773" s="4"/>
      <c r="H773" s="4"/>
    </row>
    <row r="774" ht="14.25" customHeight="1" spans="4:8">
      <c r="D774" s="4"/>
      <c r="E774" s="5"/>
      <c r="G774" s="4"/>
      <c r="H774" s="4"/>
    </row>
    <row r="775" ht="14.25" customHeight="1" spans="4:8">
      <c r="D775" s="4"/>
      <c r="E775" s="5"/>
      <c r="G775" s="4"/>
      <c r="H775" s="4"/>
    </row>
    <row r="776" ht="14.25" customHeight="1" spans="4:8">
      <c r="D776" s="4"/>
      <c r="E776" s="5"/>
      <c r="G776" s="4"/>
      <c r="H776" s="4"/>
    </row>
    <row r="777" ht="14.25" customHeight="1" spans="4:8">
      <c r="D777" s="4"/>
      <c r="E777" s="5"/>
      <c r="G777" s="4"/>
      <c r="H777" s="4"/>
    </row>
    <row r="778" ht="14.25" customHeight="1" spans="4:8">
      <c r="D778" s="4"/>
      <c r="E778" s="5"/>
      <c r="G778" s="4"/>
      <c r="H778" s="4"/>
    </row>
    <row r="779" ht="14.25" customHeight="1" spans="4:8">
      <c r="D779" s="4"/>
      <c r="E779" s="5"/>
      <c r="G779" s="4"/>
      <c r="H779" s="4"/>
    </row>
    <row r="780" ht="14.25" customHeight="1" spans="4:8">
      <c r="D780" s="4"/>
      <c r="E780" s="5"/>
      <c r="G780" s="4"/>
      <c r="H780" s="4"/>
    </row>
    <row r="781" ht="14.25" customHeight="1" spans="4:8">
      <c r="D781" s="4"/>
      <c r="E781" s="5"/>
      <c r="G781" s="4"/>
      <c r="H781" s="4"/>
    </row>
    <row r="782" ht="14.25" customHeight="1" spans="4:8">
      <c r="D782" s="4"/>
      <c r="E782" s="5"/>
      <c r="G782" s="4"/>
      <c r="H782" s="4"/>
    </row>
    <row r="783" ht="14.25" customHeight="1" spans="4:8">
      <c r="D783" s="4"/>
      <c r="E783" s="5"/>
      <c r="G783" s="4"/>
      <c r="H783" s="4"/>
    </row>
    <row r="784" ht="14.25" customHeight="1" spans="4:8">
      <c r="D784" s="4"/>
      <c r="E784" s="5"/>
      <c r="G784" s="4"/>
      <c r="H784" s="4"/>
    </row>
    <row r="785" ht="14.25" customHeight="1" spans="4:8">
      <c r="D785" s="4"/>
      <c r="E785" s="5"/>
      <c r="G785" s="4"/>
      <c r="H785" s="4"/>
    </row>
    <row r="786" ht="14.25" customHeight="1" spans="4:8">
      <c r="D786" s="4"/>
      <c r="E786" s="5"/>
      <c r="G786" s="4"/>
      <c r="H786" s="4"/>
    </row>
    <row r="787" ht="14.25" customHeight="1" spans="4:8">
      <c r="D787" s="4"/>
      <c r="E787" s="5"/>
      <c r="G787" s="4"/>
      <c r="H787" s="4"/>
    </row>
    <row r="788" ht="14.25" customHeight="1" spans="4:8">
      <c r="D788" s="4"/>
      <c r="E788" s="5"/>
      <c r="G788" s="4"/>
      <c r="H788" s="4"/>
    </row>
    <row r="789" ht="14.25" customHeight="1" spans="4:8">
      <c r="D789" s="4"/>
      <c r="E789" s="5"/>
      <c r="G789" s="4"/>
      <c r="H789" s="4"/>
    </row>
    <row r="790" ht="14.25" customHeight="1" spans="4:8">
      <c r="D790" s="4"/>
      <c r="E790" s="5"/>
      <c r="G790" s="4"/>
      <c r="H790" s="4"/>
    </row>
    <row r="791" ht="14.25" customHeight="1" spans="4:8">
      <c r="D791" s="4"/>
      <c r="E791" s="5"/>
      <c r="G791" s="4"/>
      <c r="H791" s="4"/>
    </row>
    <row r="792" ht="14.25" customHeight="1" spans="4:8">
      <c r="D792" s="4"/>
      <c r="E792" s="5"/>
      <c r="G792" s="4"/>
      <c r="H792" s="4"/>
    </row>
    <row r="793" ht="14.25" customHeight="1" spans="4:8">
      <c r="D793" s="4"/>
      <c r="E793" s="5"/>
      <c r="G793" s="4"/>
      <c r="H793" s="4"/>
    </row>
    <row r="794" ht="14.25" customHeight="1" spans="4:8">
      <c r="D794" s="4"/>
      <c r="E794" s="5"/>
      <c r="G794" s="4"/>
      <c r="H794" s="4"/>
    </row>
    <row r="795" ht="14.25" customHeight="1" spans="4:8">
      <c r="D795" s="4"/>
      <c r="E795" s="5"/>
      <c r="G795" s="4"/>
      <c r="H795" s="4"/>
    </row>
    <row r="796" ht="14.25" customHeight="1" spans="4:8">
      <c r="D796" s="4"/>
      <c r="E796" s="5"/>
      <c r="G796" s="4"/>
      <c r="H796" s="4"/>
    </row>
    <row r="797" ht="14.25" customHeight="1" spans="4:8">
      <c r="D797" s="4"/>
      <c r="E797" s="5"/>
      <c r="G797" s="4"/>
      <c r="H797" s="4"/>
    </row>
    <row r="798" ht="14.25" customHeight="1" spans="4:8">
      <c r="D798" s="4"/>
      <c r="E798" s="5"/>
      <c r="G798" s="4"/>
      <c r="H798" s="4"/>
    </row>
    <row r="799" ht="14.25" customHeight="1" spans="4:8">
      <c r="D799" s="4"/>
      <c r="E799" s="5"/>
      <c r="G799" s="4"/>
      <c r="H799" s="4"/>
    </row>
    <row r="800" ht="14.25" customHeight="1" spans="4:8">
      <c r="D800" s="4"/>
      <c r="E800" s="5"/>
      <c r="G800" s="4"/>
      <c r="H800" s="4"/>
    </row>
    <row r="801" ht="14.25" customHeight="1" spans="4:8">
      <c r="D801" s="4"/>
      <c r="E801" s="5"/>
      <c r="G801" s="4"/>
      <c r="H801" s="4"/>
    </row>
    <row r="802" ht="14.25" customHeight="1" spans="4:8">
      <c r="D802" s="4"/>
      <c r="E802" s="5"/>
      <c r="G802" s="4"/>
      <c r="H802" s="4"/>
    </row>
    <row r="803" ht="14.25" customHeight="1" spans="4:8">
      <c r="D803" s="4"/>
      <c r="E803" s="5"/>
      <c r="G803" s="4"/>
      <c r="H803" s="4"/>
    </row>
    <row r="804" ht="14.25" customHeight="1" spans="4:8">
      <c r="D804" s="4"/>
      <c r="E804" s="5"/>
      <c r="G804" s="4"/>
      <c r="H804" s="4"/>
    </row>
    <row r="805" ht="14.25" customHeight="1" spans="4:8">
      <c r="D805" s="4"/>
      <c r="E805" s="5"/>
      <c r="G805" s="4"/>
      <c r="H805" s="4"/>
    </row>
    <row r="806" ht="14.25" customHeight="1" spans="4:8">
      <c r="D806" s="4"/>
      <c r="E806" s="5"/>
      <c r="G806" s="4"/>
      <c r="H806" s="4"/>
    </row>
    <row r="807" ht="14.25" customHeight="1" spans="4:8">
      <c r="D807" s="4"/>
      <c r="E807" s="5"/>
      <c r="G807" s="4"/>
      <c r="H807" s="4"/>
    </row>
    <row r="808" ht="14.25" customHeight="1" spans="4:8">
      <c r="D808" s="4"/>
      <c r="E808" s="5"/>
      <c r="G808" s="4"/>
      <c r="H808" s="4"/>
    </row>
    <row r="809" ht="14.25" customHeight="1" spans="4:8">
      <c r="D809" s="4"/>
      <c r="E809" s="5"/>
      <c r="G809" s="4"/>
      <c r="H809" s="4"/>
    </row>
    <row r="810" ht="14.25" customHeight="1" spans="4:8">
      <c r="D810" s="4"/>
      <c r="E810" s="5"/>
      <c r="G810" s="4"/>
      <c r="H810" s="4"/>
    </row>
    <row r="811" ht="14.25" customHeight="1" spans="4:8">
      <c r="D811" s="4"/>
      <c r="E811" s="5"/>
      <c r="G811" s="4"/>
      <c r="H811" s="4"/>
    </row>
    <row r="812" ht="14.25" customHeight="1" spans="4:8">
      <c r="D812" s="4"/>
      <c r="E812" s="5"/>
      <c r="G812" s="4"/>
      <c r="H812" s="4"/>
    </row>
    <row r="813" ht="14.25" customHeight="1" spans="4:8">
      <c r="D813" s="4"/>
      <c r="E813" s="5"/>
      <c r="G813" s="4"/>
      <c r="H813" s="4"/>
    </row>
    <row r="814" ht="14.25" customHeight="1" spans="4:8">
      <c r="D814" s="4"/>
      <c r="E814" s="5"/>
      <c r="G814" s="4"/>
      <c r="H814" s="4"/>
    </row>
    <row r="815" ht="14.25" customHeight="1" spans="4:8">
      <c r="D815" s="4"/>
      <c r="E815" s="5"/>
      <c r="G815" s="4"/>
      <c r="H815" s="4"/>
    </row>
    <row r="816" ht="14.25" customHeight="1" spans="4:8">
      <c r="D816" s="4"/>
      <c r="E816" s="5"/>
      <c r="G816" s="4"/>
      <c r="H816" s="4"/>
    </row>
    <row r="817" ht="14.25" customHeight="1" spans="4:8">
      <c r="D817" s="4"/>
      <c r="E817" s="5"/>
      <c r="G817" s="4"/>
      <c r="H817" s="4"/>
    </row>
    <row r="818" ht="14.25" customHeight="1" spans="4:8">
      <c r="D818" s="4"/>
      <c r="E818" s="5"/>
      <c r="G818" s="4"/>
      <c r="H818" s="4"/>
    </row>
    <row r="819" ht="14.25" customHeight="1" spans="4:8">
      <c r="D819" s="4"/>
      <c r="E819" s="5"/>
      <c r="G819" s="4"/>
      <c r="H819" s="4"/>
    </row>
    <row r="820" ht="14.25" customHeight="1" spans="4:8">
      <c r="D820" s="4"/>
      <c r="E820" s="5"/>
      <c r="G820" s="4"/>
      <c r="H820" s="4"/>
    </row>
    <row r="821" ht="14.25" customHeight="1" spans="4:8">
      <c r="D821" s="4"/>
      <c r="E821" s="5"/>
      <c r="G821" s="4"/>
      <c r="H821" s="4"/>
    </row>
    <row r="822" ht="14.25" customHeight="1" spans="4:8">
      <c r="D822" s="4"/>
      <c r="E822" s="5"/>
      <c r="G822" s="4"/>
      <c r="H822" s="4"/>
    </row>
    <row r="823" ht="14.25" customHeight="1" spans="4:8">
      <c r="D823" s="4"/>
      <c r="E823" s="5"/>
      <c r="G823" s="4"/>
      <c r="H823" s="4"/>
    </row>
    <row r="824" ht="14.25" customHeight="1" spans="4:8">
      <c r="D824" s="4"/>
      <c r="E824" s="5"/>
      <c r="G824" s="4"/>
      <c r="H824" s="4"/>
    </row>
    <row r="825" ht="14.25" customHeight="1" spans="4:8">
      <c r="D825" s="4"/>
      <c r="E825" s="5"/>
      <c r="G825" s="4"/>
      <c r="H825" s="4"/>
    </row>
    <row r="826" ht="14.25" customHeight="1" spans="4:8">
      <c r="D826" s="4"/>
      <c r="E826" s="5"/>
      <c r="G826" s="4"/>
      <c r="H826" s="4"/>
    </row>
    <row r="827" ht="14.25" customHeight="1" spans="4:8">
      <c r="D827" s="4"/>
      <c r="E827" s="5"/>
      <c r="G827" s="4"/>
      <c r="H827" s="4"/>
    </row>
    <row r="828" ht="14.25" customHeight="1" spans="4:8">
      <c r="D828" s="4"/>
      <c r="E828" s="5"/>
      <c r="G828" s="4"/>
      <c r="H828" s="4"/>
    </row>
    <row r="829" ht="14.25" customHeight="1" spans="4:8">
      <c r="D829" s="4"/>
      <c r="E829" s="5"/>
      <c r="G829" s="4"/>
      <c r="H829" s="4"/>
    </row>
    <row r="830" ht="14.25" customHeight="1" spans="4:8">
      <c r="D830" s="4"/>
      <c r="E830" s="5"/>
      <c r="G830" s="4"/>
      <c r="H830" s="4"/>
    </row>
    <row r="831" ht="14.25" customHeight="1" spans="4:8">
      <c r="D831" s="4"/>
      <c r="E831" s="5"/>
      <c r="G831" s="4"/>
      <c r="H831" s="4"/>
    </row>
    <row r="832" ht="14.25" customHeight="1" spans="4:8">
      <c r="D832" s="4"/>
      <c r="E832" s="5"/>
      <c r="G832" s="4"/>
      <c r="H832" s="4"/>
    </row>
    <row r="833" ht="14.25" customHeight="1" spans="4:8">
      <c r="D833" s="4"/>
      <c r="E833" s="5"/>
      <c r="G833" s="4"/>
      <c r="H833" s="4"/>
    </row>
    <row r="834" ht="14.25" customHeight="1" spans="4:8">
      <c r="D834" s="4"/>
      <c r="E834" s="5"/>
      <c r="G834" s="4"/>
      <c r="H834" s="4"/>
    </row>
    <row r="835" ht="14.25" customHeight="1" spans="4:8">
      <c r="D835" s="4"/>
      <c r="E835" s="5"/>
      <c r="G835" s="4"/>
      <c r="H835" s="4"/>
    </row>
    <row r="836" ht="14.25" customHeight="1" spans="4:8">
      <c r="D836" s="4"/>
      <c r="E836" s="5"/>
      <c r="G836" s="4"/>
      <c r="H836" s="4"/>
    </row>
    <row r="837" ht="14.25" customHeight="1" spans="4:8">
      <c r="D837" s="4"/>
      <c r="E837" s="5"/>
      <c r="G837" s="4"/>
      <c r="H837" s="4"/>
    </row>
    <row r="838" ht="14.25" customHeight="1" spans="4:8">
      <c r="D838" s="4"/>
      <c r="E838" s="5"/>
      <c r="G838" s="4"/>
      <c r="H838" s="4"/>
    </row>
    <row r="839" ht="14.25" customHeight="1" spans="4:8">
      <c r="D839" s="4"/>
      <c r="E839" s="5"/>
      <c r="G839" s="4"/>
      <c r="H839" s="4"/>
    </row>
    <row r="840" ht="14.25" customHeight="1" spans="4:8">
      <c r="D840" s="4"/>
      <c r="E840" s="5"/>
      <c r="G840" s="4"/>
      <c r="H840" s="4"/>
    </row>
    <row r="841" ht="14.25" customHeight="1" spans="4:8">
      <c r="D841" s="4"/>
      <c r="E841" s="5"/>
      <c r="G841" s="4"/>
      <c r="H841" s="4"/>
    </row>
    <row r="842" ht="14.25" customHeight="1" spans="4:8">
      <c r="D842" s="4"/>
      <c r="E842" s="5"/>
      <c r="G842" s="4"/>
      <c r="H842" s="4"/>
    </row>
    <row r="843" ht="14.25" customHeight="1" spans="4:8">
      <c r="D843" s="4"/>
      <c r="E843" s="5"/>
      <c r="G843" s="4"/>
      <c r="H843" s="4"/>
    </row>
    <row r="844" ht="14.25" customHeight="1" spans="4:8">
      <c r="D844" s="4"/>
      <c r="E844" s="5"/>
      <c r="G844" s="4"/>
      <c r="H844" s="4"/>
    </row>
    <row r="845" ht="14.25" customHeight="1" spans="4:8">
      <c r="D845" s="4"/>
      <c r="E845" s="5"/>
      <c r="G845" s="4"/>
      <c r="H845" s="4"/>
    </row>
    <row r="846" ht="14.25" customHeight="1" spans="4:8">
      <c r="D846" s="4"/>
      <c r="E846" s="5"/>
      <c r="G846" s="4"/>
      <c r="H846" s="4"/>
    </row>
    <row r="847" ht="14.25" customHeight="1" spans="4:8">
      <c r="D847" s="4"/>
      <c r="E847" s="5"/>
      <c r="G847" s="4"/>
      <c r="H847" s="4"/>
    </row>
    <row r="848" ht="14.25" customHeight="1" spans="4:8">
      <c r="D848" s="4"/>
      <c r="E848" s="5"/>
      <c r="G848" s="4"/>
      <c r="H848" s="4"/>
    </row>
    <row r="849" ht="14.25" customHeight="1" spans="4:8">
      <c r="D849" s="4"/>
      <c r="E849" s="5"/>
      <c r="G849" s="4"/>
      <c r="H849" s="4"/>
    </row>
    <row r="850" ht="14.25" customHeight="1" spans="4:8">
      <c r="D850" s="4"/>
      <c r="E850" s="5"/>
      <c r="G850" s="4"/>
      <c r="H850" s="4"/>
    </row>
    <row r="851" ht="14.25" customHeight="1" spans="4:8">
      <c r="D851" s="4"/>
      <c r="E851" s="5"/>
      <c r="G851" s="4"/>
      <c r="H851" s="4"/>
    </row>
    <row r="852" ht="14.25" customHeight="1" spans="4:8">
      <c r="D852" s="4"/>
      <c r="E852" s="5"/>
      <c r="G852" s="4"/>
      <c r="H852" s="4"/>
    </row>
    <row r="853" ht="14.25" customHeight="1" spans="4:8">
      <c r="D853" s="4"/>
      <c r="E853" s="5"/>
      <c r="G853" s="4"/>
      <c r="H853" s="4"/>
    </row>
    <row r="854" ht="14.25" customHeight="1" spans="4:8">
      <c r="D854" s="4"/>
      <c r="E854" s="5"/>
      <c r="G854" s="4"/>
      <c r="H854" s="4"/>
    </row>
    <row r="855" ht="14.25" customHeight="1" spans="4:8">
      <c r="D855" s="4"/>
      <c r="E855" s="5"/>
      <c r="G855" s="4"/>
      <c r="H855" s="4"/>
    </row>
    <row r="856" ht="14.25" customHeight="1" spans="4:8">
      <c r="D856" s="4"/>
      <c r="E856" s="5"/>
      <c r="G856" s="4"/>
      <c r="H856" s="4"/>
    </row>
    <row r="857" ht="14.25" customHeight="1" spans="4:8">
      <c r="D857" s="4"/>
      <c r="E857" s="5"/>
      <c r="G857" s="4"/>
      <c r="H857" s="4"/>
    </row>
    <row r="858" ht="14.25" customHeight="1" spans="4:8">
      <c r="D858" s="4"/>
      <c r="E858" s="5"/>
      <c r="G858" s="4"/>
      <c r="H858" s="4"/>
    </row>
    <row r="859" ht="14.25" customHeight="1" spans="4:8">
      <c r="D859" s="4"/>
      <c r="E859" s="5"/>
      <c r="G859" s="4"/>
      <c r="H859" s="4"/>
    </row>
    <row r="860" ht="14.25" customHeight="1" spans="4:8">
      <c r="D860" s="4"/>
      <c r="E860" s="5"/>
      <c r="G860" s="4"/>
      <c r="H860" s="4"/>
    </row>
    <row r="861" ht="14.25" customHeight="1" spans="4:8">
      <c r="D861" s="4"/>
      <c r="E861" s="5"/>
      <c r="G861" s="4"/>
      <c r="H861" s="4"/>
    </row>
    <row r="862" ht="14.25" customHeight="1" spans="4:8">
      <c r="D862" s="4"/>
      <c r="E862" s="5"/>
      <c r="G862" s="4"/>
      <c r="H862" s="4"/>
    </row>
    <row r="863" ht="14.25" customHeight="1" spans="4:8">
      <c r="D863" s="4"/>
      <c r="E863" s="5"/>
      <c r="G863" s="4"/>
      <c r="H863" s="4"/>
    </row>
    <row r="864" ht="14.25" customHeight="1" spans="4:8">
      <c r="D864" s="4"/>
      <c r="E864" s="5"/>
      <c r="G864" s="4"/>
      <c r="H864" s="4"/>
    </row>
    <row r="865" ht="14.25" customHeight="1" spans="4:8">
      <c r="D865" s="4"/>
      <c r="E865" s="5"/>
      <c r="G865" s="4"/>
      <c r="H865" s="4"/>
    </row>
    <row r="866" ht="14.25" customHeight="1" spans="4:8">
      <c r="D866" s="4"/>
      <c r="E866" s="5"/>
      <c r="G866" s="4"/>
      <c r="H866" s="4"/>
    </row>
    <row r="867" ht="14.25" customHeight="1" spans="4:8">
      <c r="D867" s="4"/>
      <c r="E867" s="5"/>
      <c r="G867" s="4"/>
      <c r="H867" s="4"/>
    </row>
    <row r="868" ht="14.25" customHeight="1" spans="4:8">
      <c r="D868" s="4"/>
      <c r="E868" s="5"/>
      <c r="G868" s="4"/>
      <c r="H868" s="4"/>
    </row>
    <row r="869" ht="14.25" customHeight="1" spans="4:8">
      <c r="D869" s="4"/>
      <c r="E869" s="5"/>
      <c r="G869" s="4"/>
      <c r="H869" s="4"/>
    </row>
    <row r="870" ht="14.25" customHeight="1" spans="4:8">
      <c r="D870" s="4"/>
      <c r="E870" s="5"/>
      <c r="G870" s="4"/>
      <c r="H870" s="4"/>
    </row>
    <row r="871" ht="14.25" customHeight="1" spans="4:8">
      <c r="D871" s="4"/>
      <c r="E871" s="5"/>
      <c r="G871" s="4"/>
      <c r="H871" s="4"/>
    </row>
    <row r="872" ht="14.25" customHeight="1" spans="4:8">
      <c r="D872" s="4"/>
      <c r="E872" s="5"/>
      <c r="G872" s="4"/>
      <c r="H872" s="4"/>
    </row>
    <row r="873" ht="14.25" customHeight="1" spans="4:8">
      <c r="D873" s="4"/>
      <c r="E873" s="5"/>
      <c r="G873" s="4"/>
      <c r="H873" s="4"/>
    </row>
    <row r="874" ht="14.25" customHeight="1" spans="4:8">
      <c r="D874" s="4"/>
      <c r="E874" s="5"/>
      <c r="G874" s="4"/>
      <c r="H874" s="4"/>
    </row>
    <row r="875" ht="14.25" customHeight="1" spans="4:8">
      <c r="D875" s="4"/>
      <c r="E875" s="5"/>
      <c r="G875" s="4"/>
      <c r="H875" s="4"/>
    </row>
    <row r="876" ht="14.25" customHeight="1" spans="4:8">
      <c r="D876" s="4"/>
      <c r="E876" s="5"/>
      <c r="G876" s="4"/>
      <c r="H876" s="4"/>
    </row>
    <row r="877" ht="14.25" customHeight="1" spans="4:8">
      <c r="D877" s="4"/>
      <c r="E877" s="5"/>
      <c r="G877" s="4"/>
      <c r="H877" s="4"/>
    </row>
    <row r="878" ht="14.25" customHeight="1" spans="4:8">
      <c r="D878" s="4"/>
      <c r="E878" s="5"/>
      <c r="G878" s="4"/>
      <c r="H878" s="4"/>
    </row>
    <row r="879" ht="14.25" customHeight="1" spans="4:8">
      <c r="D879" s="4"/>
      <c r="E879" s="5"/>
      <c r="G879" s="4"/>
      <c r="H879" s="4"/>
    </row>
    <row r="880" ht="14.25" customHeight="1" spans="4:8">
      <c r="D880" s="4"/>
      <c r="E880" s="5"/>
      <c r="G880" s="4"/>
      <c r="H880" s="4"/>
    </row>
    <row r="881" ht="14.25" customHeight="1" spans="4:8">
      <c r="D881" s="4"/>
      <c r="E881" s="5"/>
      <c r="G881" s="4"/>
      <c r="H881" s="4"/>
    </row>
    <row r="882" ht="14.25" customHeight="1" spans="4:8">
      <c r="D882" s="4"/>
      <c r="E882" s="5"/>
      <c r="G882" s="4"/>
      <c r="H882" s="4"/>
    </row>
    <row r="883" ht="14.25" customHeight="1" spans="4:8">
      <c r="D883" s="4"/>
      <c r="E883" s="5"/>
      <c r="G883" s="4"/>
      <c r="H883" s="4"/>
    </row>
    <row r="884" ht="14.25" customHeight="1" spans="4:8">
      <c r="D884" s="4"/>
      <c r="E884" s="5"/>
      <c r="G884" s="4"/>
      <c r="H884" s="4"/>
    </row>
    <row r="885" ht="14.25" customHeight="1" spans="4:8">
      <c r="D885" s="4"/>
      <c r="E885" s="5"/>
      <c r="G885" s="4"/>
      <c r="H885" s="4"/>
    </row>
    <row r="886" ht="14.25" customHeight="1" spans="4:8">
      <c r="D886" s="4"/>
      <c r="E886" s="5"/>
      <c r="G886" s="4"/>
      <c r="H886" s="4"/>
    </row>
    <row r="887" ht="14.25" customHeight="1" spans="4:8">
      <c r="D887" s="4"/>
      <c r="E887" s="5"/>
      <c r="G887" s="4"/>
      <c r="H887" s="4"/>
    </row>
    <row r="888" ht="14.25" customHeight="1" spans="4:8">
      <c r="D888" s="4"/>
      <c r="E888" s="5"/>
      <c r="G888" s="4"/>
      <c r="H888" s="4"/>
    </row>
    <row r="889" ht="14.25" customHeight="1" spans="4:8">
      <c r="D889" s="4"/>
      <c r="E889" s="5"/>
      <c r="G889" s="4"/>
      <c r="H889" s="4"/>
    </row>
    <row r="890" ht="14.25" customHeight="1" spans="4:8">
      <c r="D890" s="4"/>
      <c r="E890" s="5"/>
      <c r="G890" s="4"/>
      <c r="H890" s="4"/>
    </row>
    <row r="891" ht="14.25" customHeight="1" spans="4:8">
      <c r="D891" s="4"/>
      <c r="E891" s="5"/>
      <c r="G891" s="4"/>
      <c r="H891" s="4"/>
    </row>
    <row r="892" ht="14.25" customHeight="1" spans="4:8">
      <c r="D892" s="4"/>
      <c r="E892" s="5"/>
      <c r="G892" s="4"/>
      <c r="H892" s="4"/>
    </row>
    <row r="893" ht="14.25" customHeight="1" spans="4:8">
      <c r="D893" s="4"/>
      <c r="E893" s="5"/>
      <c r="G893" s="4"/>
      <c r="H893" s="4"/>
    </row>
    <row r="894" ht="14.25" customHeight="1" spans="4:8">
      <c r="D894" s="4"/>
      <c r="E894" s="5"/>
      <c r="G894" s="4"/>
      <c r="H894" s="4"/>
    </row>
    <row r="895" ht="14.25" customHeight="1" spans="4:8">
      <c r="D895" s="4"/>
      <c r="E895" s="5"/>
      <c r="G895" s="4"/>
      <c r="H895" s="4"/>
    </row>
    <row r="896" ht="14.25" customHeight="1" spans="4:8">
      <c r="D896" s="4"/>
      <c r="E896" s="5"/>
      <c r="G896" s="4"/>
      <c r="H896" s="4"/>
    </row>
    <row r="897" ht="14.25" customHeight="1" spans="4:8">
      <c r="D897" s="4"/>
      <c r="E897" s="5"/>
      <c r="G897" s="4"/>
      <c r="H897" s="4"/>
    </row>
    <row r="898" ht="14.25" customHeight="1" spans="4:8">
      <c r="D898" s="4"/>
      <c r="E898" s="5"/>
      <c r="G898" s="4"/>
      <c r="H898" s="4"/>
    </row>
    <row r="899" ht="14.25" customHeight="1" spans="4:8">
      <c r="D899" s="4"/>
      <c r="E899" s="5"/>
      <c r="G899" s="4"/>
      <c r="H899" s="4"/>
    </row>
    <row r="900" ht="14.25" customHeight="1" spans="4:8">
      <c r="D900" s="4"/>
      <c r="E900" s="5"/>
      <c r="G900" s="4"/>
      <c r="H900" s="4"/>
    </row>
    <row r="901" ht="14.25" customHeight="1" spans="4:8">
      <c r="D901" s="4"/>
      <c r="E901" s="5"/>
      <c r="G901" s="4"/>
      <c r="H901" s="4"/>
    </row>
    <row r="902" ht="14.25" customHeight="1" spans="4:8">
      <c r="D902" s="4"/>
      <c r="E902" s="5"/>
      <c r="G902" s="4"/>
      <c r="H902" s="4"/>
    </row>
    <row r="903" ht="14.25" customHeight="1" spans="4:8">
      <c r="D903" s="4"/>
      <c r="E903" s="5"/>
      <c r="G903" s="4"/>
      <c r="H903" s="4"/>
    </row>
    <row r="904" ht="14.25" customHeight="1" spans="4:8">
      <c r="D904" s="4"/>
      <c r="E904" s="5"/>
      <c r="G904" s="4"/>
      <c r="H904" s="4"/>
    </row>
    <row r="905" ht="14.25" customHeight="1" spans="4:8">
      <c r="D905" s="4"/>
      <c r="E905" s="5"/>
      <c r="G905" s="4"/>
      <c r="H905" s="4"/>
    </row>
    <row r="906" ht="14.25" customHeight="1" spans="4:8">
      <c r="D906" s="4"/>
      <c r="E906" s="5"/>
      <c r="G906" s="4"/>
      <c r="H906" s="4"/>
    </row>
    <row r="907" ht="14.25" customHeight="1" spans="4:8">
      <c r="D907" s="4"/>
      <c r="E907" s="5"/>
      <c r="G907" s="4"/>
      <c r="H907" s="4"/>
    </row>
    <row r="908" ht="14.25" customHeight="1" spans="4:8">
      <c r="D908" s="4"/>
      <c r="E908" s="5"/>
      <c r="G908" s="4"/>
      <c r="H908" s="4"/>
    </row>
    <row r="909" ht="14.25" customHeight="1" spans="4:8">
      <c r="D909" s="4"/>
      <c r="E909" s="5"/>
      <c r="G909" s="4"/>
      <c r="H909" s="4"/>
    </row>
    <row r="910" ht="14.25" customHeight="1" spans="4:8">
      <c r="D910" s="4"/>
      <c r="E910" s="5"/>
      <c r="G910" s="4"/>
      <c r="H910" s="4"/>
    </row>
    <row r="911" ht="14.25" customHeight="1" spans="4:8">
      <c r="D911" s="4"/>
      <c r="E911" s="5"/>
      <c r="G911" s="4"/>
      <c r="H911" s="4"/>
    </row>
    <row r="912" ht="14.25" customHeight="1" spans="4:8">
      <c r="D912" s="4"/>
      <c r="E912" s="5"/>
      <c r="G912" s="4"/>
      <c r="H912" s="4"/>
    </row>
    <row r="913" ht="14.25" customHeight="1" spans="4:8">
      <c r="D913" s="4"/>
      <c r="E913" s="5"/>
      <c r="G913" s="4"/>
      <c r="H913" s="4"/>
    </row>
    <row r="914" ht="14.25" customHeight="1" spans="4:8">
      <c r="D914" s="4"/>
      <c r="E914" s="5"/>
      <c r="G914" s="4"/>
      <c r="H914" s="4"/>
    </row>
    <row r="915" ht="14.25" customHeight="1" spans="4:8">
      <c r="D915" s="4"/>
      <c r="E915" s="5"/>
      <c r="G915" s="4"/>
      <c r="H915" s="4"/>
    </row>
    <row r="916" ht="14.25" customHeight="1" spans="4:8">
      <c r="D916" s="4"/>
      <c r="E916" s="5"/>
      <c r="G916" s="4"/>
      <c r="H916" s="4"/>
    </row>
    <row r="917" ht="14.25" customHeight="1" spans="4:8">
      <c r="D917" s="4"/>
      <c r="E917" s="5"/>
      <c r="G917" s="4"/>
      <c r="H917" s="4"/>
    </row>
    <row r="918" ht="14.25" customHeight="1" spans="4:8">
      <c r="D918" s="4"/>
      <c r="E918" s="5"/>
      <c r="G918" s="4"/>
      <c r="H918" s="4"/>
    </row>
    <row r="919" ht="14.25" customHeight="1" spans="4:8">
      <c r="D919" s="4"/>
      <c r="E919" s="5"/>
      <c r="G919" s="4"/>
      <c r="H919" s="4"/>
    </row>
    <row r="920" ht="14.25" customHeight="1" spans="4:8">
      <c r="D920" s="4"/>
      <c r="E920" s="5"/>
      <c r="G920" s="4"/>
      <c r="H920" s="4"/>
    </row>
    <row r="921" ht="14.25" customHeight="1" spans="4:8">
      <c r="D921" s="4"/>
      <c r="E921" s="5"/>
      <c r="G921" s="4"/>
      <c r="H921" s="4"/>
    </row>
    <row r="922" ht="14.25" customHeight="1" spans="4:8">
      <c r="D922" s="4"/>
      <c r="E922" s="5"/>
      <c r="G922" s="4"/>
      <c r="H922" s="4"/>
    </row>
    <row r="923" ht="14.25" customHeight="1" spans="4:8">
      <c r="D923" s="4"/>
      <c r="E923" s="5"/>
      <c r="G923" s="4"/>
      <c r="H923" s="4"/>
    </row>
    <row r="924" ht="14.25" customHeight="1" spans="4:8">
      <c r="D924" s="4"/>
      <c r="E924" s="5"/>
      <c r="G924" s="4"/>
      <c r="H924" s="4"/>
    </row>
    <row r="925" ht="14.25" customHeight="1" spans="4:8">
      <c r="D925" s="4"/>
      <c r="E925" s="5"/>
      <c r="G925" s="4"/>
      <c r="H925" s="4"/>
    </row>
    <row r="926" ht="14.25" customHeight="1" spans="4:8">
      <c r="D926" s="4"/>
      <c r="E926" s="5"/>
      <c r="G926" s="4"/>
      <c r="H926" s="4"/>
    </row>
    <row r="927" ht="14.25" customHeight="1" spans="4:8">
      <c r="D927" s="4"/>
      <c r="E927" s="5"/>
      <c r="G927" s="4"/>
      <c r="H927" s="4"/>
    </row>
    <row r="928" ht="14.25" customHeight="1" spans="4:8">
      <c r="D928" s="4"/>
      <c r="E928" s="5"/>
      <c r="G928" s="4"/>
      <c r="H928" s="4"/>
    </row>
    <row r="929" ht="14.25" customHeight="1" spans="4:8">
      <c r="D929" s="4"/>
      <c r="E929" s="5"/>
      <c r="G929" s="4"/>
      <c r="H929" s="4"/>
    </row>
    <row r="930" ht="14.25" customHeight="1" spans="4:8">
      <c r="D930" s="4"/>
      <c r="E930" s="5"/>
      <c r="G930" s="4"/>
      <c r="H930" s="4"/>
    </row>
    <row r="931" ht="14.25" customHeight="1" spans="4:8">
      <c r="D931" s="4"/>
      <c r="E931" s="5"/>
      <c r="G931" s="4"/>
      <c r="H931" s="4"/>
    </row>
    <row r="932" ht="14.25" customHeight="1" spans="4:8">
      <c r="D932" s="4"/>
      <c r="E932" s="5"/>
      <c r="G932" s="4"/>
      <c r="H932" s="4"/>
    </row>
    <row r="933" ht="14.25" customHeight="1" spans="4:8">
      <c r="D933" s="4"/>
      <c r="E933" s="5"/>
      <c r="G933" s="4"/>
      <c r="H933" s="4"/>
    </row>
    <row r="934" ht="14.25" customHeight="1" spans="4:8">
      <c r="D934" s="4"/>
      <c r="E934" s="5"/>
      <c r="G934" s="4"/>
      <c r="H934" s="4"/>
    </row>
    <row r="935" ht="14.25" customHeight="1" spans="4:8">
      <c r="D935" s="4"/>
      <c r="E935" s="5"/>
      <c r="G935" s="4"/>
      <c r="H935" s="4"/>
    </row>
    <row r="936" ht="14.25" customHeight="1" spans="4:8">
      <c r="D936" s="4"/>
      <c r="E936" s="5"/>
      <c r="G936" s="4"/>
      <c r="H936" s="4"/>
    </row>
    <row r="937" ht="14.25" customHeight="1" spans="4:8">
      <c r="D937" s="4"/>
      <c r="E937" s="5"/>
      <c r="G937" s="4"/>
      <c r="H937" s="4"/>
    </row>
    <row r="938" ht="14.25" customHeight="1" spans="4:8">
      <c r="D938" s="4"/>
      <c r="E938" s="5"/>
      <c r="G938" s="4"/>
      <c r="H938" s="4"/>
    </row>
    <row r="939" ht="14.25" customHeight="1" spans="4:8">
      <c r="D939" s="4"/>
      <c r="E939" s="5"/>
      <c r="G939" s="4"/>
      <c r="H939" s="4"/>
    </row>
    <row r="940" ht="14.25" customHeight="1" spans="4:8">
      <c r="D940" s="4"/>
      <c r="E940" s="5"/>
      <c r="G940" s="4"/>
      <c r="H940" s="4"/>
    </row>
    <row r="941" ht="14.25" customHeight="1" spans="4:8">
      <c r="D941" s="4"/>
      <c r="E941" s="5"/>
      <c r="G941" s="4"/>
      <c r="H941" s="4"/>
    </row>
    <row r="942" ht="14.25" customHeight="1" spans="4:8">
      <c r="D942" s="4"/>
      <c r="E942" s="5"/>
      <c r="G942" s="4"/>
      <c r="H942" s="4"/>
    </row>
    <row r="943" ht="14.25" customHeight="1" spans="4:8">
      <c r="D943" s="4"/>
      <c r="E943" s="5"/>
      <c r="G943" s="4"/>
      <c r="H943" s="4"/>
    </row>
    <row r="944" ht="14.25" customHeight="1" spans="4:8">
      <c r="D944" s="4"/>
      <c r="E944" s="5"/>
      <c r="G944" s="4"/>
      <c r="H944" s="4"/>
    </row>
    <row r="945" ht="14.25" customHeight="1" spans="4:8">
      <c r="D945" s="4"/>
      <c r="E945" s="5"/>
      <c r="G945" s="4"/>
      <c r="H945" s="4"/>
    </row>
    <row r="946" ht="14.25" customHeight="1" spans="4:8">
      <c r="D946" s="4"/>
      <c r="E946" s="5"/>
      <c r="G946" s="4"/>
      <c r="H946" s="4"/>
    </row>
    <row r="947" ht="14.25" customHeight="1" spans="4:8">
      <c r="D947" s="4"/>
      <c r="E947" s="5"/>
      <c r="G947" s="4"/>
      <c r="H947" s="4"/>
    </row>
    <row r="948" ht="14.25" customHeight="1" spans="4:8">
      <c r="D948" s="4"/>
      <c r="E948" s="5"/>
      <c r="G948" s="4"/>
      <c r="H948" s="4"/>
    </row>
    <row r="949" ht="14.25" customHeight="1" spans="4:8">
      <c r="D949" s="4"/>
      <c r="E949" s="5"/>
      <c r="G949" s="4"/>
      <c r="H949" s="4"/>
    </row>
    <row r="950" ht="14.25" customHeight="1" spans="4:8">
      <c r="D950" s="4"/>
      <c r="E950" s="5"/>
      <c r="G950" s="4"/>
      <c r="H950" s="4"/>
    </row>
    <row r="951" ht="14.25" customHeight="1" spans="4:8">
      <c r="D951" s="4"/>
      <c r="E951" s="5"/>
      <c r="G951" s="4"/>
      <c r="H951" s="4"/>
    </row>
    <row r="952" ht="14.25" customHeight="1" spans="4:8">
      <c r="D952" s="4"/>
      <c r="E952" s="5"/>
      <c r="G952" s="4"/>
      <c r="H952" s="4"/>
    </row>
    <row r="953" ht="14.25" customHeight="1" spans="4:8">
      <c r="D953" s="4"/>
      <c r="E953" s="5"/>
      <c r="G953" s="4"/>
      <c r="H953" s="4"/>
    </row>
    <row r="954" ht="14.25" customHeight="1" spans="4:8">
      <c r="D954" s="4"/>
      <c r="E954" s="5"/>
      <c r="G954" s="4"/>
      <c r="H954" s="4"/>
    </row>
    <row r="955" ht="14.25" customHeight="1" spans="4:8">
      <c r="D955" s="4"/>
      <c r="E955" s="5"/>
      <c r="G955" s="4"/>
      <c r="H955" s="4"/>
    </row>
    <row r="956" ht="14.25" customHeight="1" spans="4:8">
      <c r="D956" s="4"/>
      <c r="E956" s="5"/>
      <c r="G956" s="4"/>
      <c r="H956" s="4"/>
    </row>
    <row r="957" ht="14.25" customHeight="1" spans="4:8">
      <c r="D957" s="4"/>
      <c r="E957" s="5"/>
      <c r="G957" s="4"/>
      <c r="H957" s="4"/>
    </row>
    <row r="958" ht="14.25" customHeight="1" spans="4:8">
      <c r="D958" s="4"/>
      <c r="E958" s="5"/>
      <c r="G958" s="4"/>
      <c r="H958" s="4"/>
    </row>
    <row r="959" ht="14.25" customHeight="1" spans="4:8">
      <c r="D959" s="4"/>
      <c r="E959" s="5"/>
      <c r="G959" s="4"/>
      <c r="H959" s="4"/>
    </row>
    <row r="960" ht="14.25" customHeight="1" spans="4:8">
      <c r="D960" s="4"/>
      <c r="E960" s="5"/>
      <c r="G960" s="4"/>
      <c r="H960" s="4"/>
    </row>
    <row r="961" ht="14.25" customHeight="1" spans="4:8">
      <c r="D961" s="4"/>
      <c r="E961" s="5"/>
      <c r="G961" s="4"/>
      <c r="H961" s="4"/>
    </row>
    <row r="962" ht="14.25" customHeight="1" spans="4:8">
      <c r="D962" s="4"/>
      <c r="E962" s="5"/>
      <c r="G962" s="4"/>
      <c r="H962" s="4"/>
    </row>
    <row r="963" ht="14.25" customHeight="1" spans="4:8">
      <c r="D963" s="4"/>
      <c r="E963" s="5"/>
      <c r="G963" s="4"/>
      <c r="H963" s="4"/>
    </row>
    <row r="964" ht="14.25" customHeight="1" spans="4:8">
      <c r="D964" s="4"/>
      <c r="E964" s="5"/>
      <c r="G964" s="4"/>
      <c r="H964" s="4"/>
    </row>
  </sheetData>
  <customSheetViews>
    <customSheetView guid="{D7AD8047-9A06-4971-9DF9-AFF984511604}" filter="1" showAutoFilter="1">
      <autoFilter ref="A2:J146"/>
    </customSheetView>
  </customSheetViews>
  <hyperlinks>
    <hyperlink ref="L147" r:id="rId5" display="กำแพงแสน, นครปฐม, ไทย สภาพอากาศประจำเดือน | AccuWeather"/>
    <hyperlink ref="L148" r:id="rId6" display="รายงานอากาศ 7 วันที่ผ่านมา"/>
    <hyperlink ref="L156" r:id="rId7" display="https://www.facebook.com/share/p/1HrC62iVmJ/?mibextid=wwXIfr"/>
    <hyperlink ref="L157" r:id="rId8" display="https://www.tmd.go.th/climate/daily?date=2026-09-15"/>
  </hyperlinks>
  <pageMargins left="0.7" right="0.7" top="0.75" bottom="0.75" header="0" footer="0"/>
  <pageSetup paperSize="1" orientation="landscape"/>
  <headerFooter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Chayapon RUENPHET</dc:creator>
  <cp:lastModifiedBy>Muza Chi</cp:lastModifiedBy>
  <dcterms:created xsi:type="dcterms:W3CDTF">2026-09-15T10:21:00Z</dcterms:created>
  <dcterms:modified xsi:type="dcterms:W3CDTF">2026-10-03T16:43:10Z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0x0101002B0BCA68D045D84E90FCBBD56269BD23</vt:lpwstr>
  </property>
  <property fmtid="{D5CDD505-2E9C-101B-9397-08002B2CF9AE}" pid="3" name="ICV">
    <vt:lpwstr>6704A6907FAD49C88FC96216ADE0412C_12</vt:lpwstr>
  </property>
  <property fmtid="{D5CDD505-2E9C-101B-9397-08002B2CF9AE}" pid="4" name="KSOProductBuildVer">
    <vt:lpwstr>1054-12.1.0.28485</vt:lpwstr>
  </property>
  <property fmtid="{D5CDD505-2E9C-101B-9397-08002B2CF9AE}" pid="5" name="CalculationRule">
    <vt:i4>0</vt:i4>
  </property>
</Properties>
</file>